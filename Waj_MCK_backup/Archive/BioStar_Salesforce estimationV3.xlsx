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01"/>
  <workbookPr/>
  <mc:AlternateContent xmlns:mc="http://schemas.openxmlformats.org/markup-compatibility/2006">
    <mc:Choice Requires="x15">
      <x15ac:absPath xmlns:x15ac="http://schemas.microsoft.com/office/spreadsheetml/2010/11/ac" url="C:\Users\v435377\Documents\BioStar\DiscoveryPhase\"/>
    </mc:Choice>
  </mc:AlternateContent>
  <xr:revisionPtr revIDLastSave="0" documentId="8_{C1D76F84-A144-4F18-8B58-4FD68137A2AB}" xr6:coauthVersionLast="38" xr6:coauthVersionMax="38" xr10:uidLastSave="{00000000-0000-0000-0000-000000000000}"/>
  <bookViews>
    <workbookView xWindow="0" yWindow="0" windowWidth="28800" windowHeight="12300" activeTab="4" xr2:uid="{00000000-000D-0000-FFFF-FFFF00000000}"/>
  </bookViews>
  <sheets>
    <sheet name="Backlog" sheetId="1" r:id="rId1"/>
    <sheet name="Assumptions" sheetId="6" r:id="rId2"/>
    <sheet name="Cost_Salesforce" sheetId="2" r:id="rId3"/>
    <sheet name="Sheet1" sheetId="5" state="hidden" r:id="rId4"/>
    <sheet name="Cost_Sitecore" sheetId="4" r:id="rId5"/>
    <sheet name="Salesforce Schedule" sheetId="3" r:id="rId6"/>
  </sheets>
  <definedNames>
    <definedName name="VSTS_ValidationRange_2137929d7bff4bdc812019b1ddb8351b" hidden="1">#REF!</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48" i="2" l="1"/>
  <c r="H185" i="1"/>
  <c r="E47" i="2"/>
  <c r="K24" i="4"/>
  <c r="K23" i="4"/>
  <c r="K22" i="4"/>
  <c r="K21" i="4"/>
  <c r="K20" i="4"/>
  <c r="K19" i="4"/>
  <c r="K18" i="4"/>
  <c r="K17" i="4"/>
  <c r="L19" i="2"/>
  <c r="L14" i="2"/>
  <c r="L15" i="2"/>
  <c r="L16" i="2"/>
  <c r="L17" i="2"/>
  <c r="L18" i="2"/>
  <c r="E7" i="5" l="1"/>
  <c r="E6" i="5"/>
  <c r="E5" i="5"/>
  <c r="E4" i="5"/>
  <c r="E3" i="5"/>
  <c r="E8" i="5" s="1"/>
  <c r="E34" i="2"/>
  <c r="E35" i="2"/>
  <c r="E36" i="2"/>
  <c r="E37" i="2"/>
  <c r="E38" i="2"/>
  <c r="E39" i="2"/>
  <c r="E42" i="2" l="1"/>
  <c r="K13" i="4"/>
  <c r="K12" i="4"/>
  <c r="K14" i="4" s="1"/>
  <c r="E44" i="4"/>
  <c r="E43" i="4"/>
  <c r="E42" i="4"/>
  <c r="E41" i="4"/>
  <c r="E40" i="4"/>
  <c r="T3" i="4"/>
  <c r="E39" i="4"/>
  <c r="E52" i="4" l="1"/>
  <c r="E45" i="2"/>
  <c r="L13" i="2" l="1"/>
  <c r="L12" i="2"/>
  <c r="L23" i="2"/>
  <c r="L22" i="2"/>
  <c r="L24" i="2" s="1"/>
  <c r="U3" i="2"/>
  <c r="C42" i="2"/>
</calcChain>
</file>

<file path=xl/sharedStrings.xml><?xml version="1.0" encoding="utf-8"?>
<sst xmlns="http://schemas.openxmlformats.org/spreadsheetml/2006/main" count="850" uniqueCount="341">
  <si>
    <t>ID</t>
  </si>
  <si>
    <t>Work Item Type</t>
  </si>
  <si>
    <t>Title 1</t>
  </si>
  <si>
    <t>Title 2</t>
  </si>
  <si>
    <t>Title 3</t>
  </si>
  <si>
    <t>State</t>
  </si>
  <si>
    <t>Tags</t>
  </si>
  <si>
    <t>Salesforce</t>
  </si>
  <si>
    <t>Epic</t>
  </si>
  <si>
    <t>New Trial Setup</t>
  </si>
  <si>
    <t>New</t>
  </si>
  <si>
    <t>Core Build 1</t>
  </si>
  <si>
    <t>Feature</t>
  </si>
  <si>
    <t xml:space="preserve">Provide a Homepage/Dashboard </t>
  </si>
  <si>
    <t>XXL</t>
  </si>
  <si>
    <t>User Story</t>
  </si>
  <si>
    <t>Ability to land on the application Home Page</t>
  </si>
  <si>
    <t>Create a Clinical Trial Study Maintenance Dashboard</t>
  </si>
  <si>
    <t>Create Protocol Maintenance Dashboard</t>
  </si>
  <si>
    <t>Create an Item Maintenance Dashboard</t>
  </si>
  <si>
    <t>Create a Consignee Maintenance Dashboard</t>
  </si>
  <si>
    <t>Create a Shipper Maintenance Dashboard</t>
  </si>
  <si>
    <t>Create Customer Service Dashboard/Homepage</t>
  </si>
  <si>
    <t>Create and Add a new Study/Project</t>
  </si>
  <si>
    <t>eMDM; XL</t>
  </si>
  <si>
    <t>Create a new Study/Project with required information</t>
  </si>
  <si>
    <t xml:space="preserve">Add contact details at Study/Project level </t>
  </si>
  <si>
    <t xml:space="preserve">Add Notes at Study/Project level </t>
  </si>
  <si>
    <t>Upload and attached study level documents</t>
  </si>
  <si>
    <t>Create and Add a Protocol within a Study/Project</t>
  </si>
  <si>
    <t>Add a protocol with all the relevant details</t>
  </si>
  <si>
    <t>Ability to copy details from an existing protocol to a new protocol</t>
  </si>
  <si>
    <t>Add Contacts detail at Protocol Level</t>
  </si>
  <si>
    <t>Add Dangerous Goods (DG) contact details at Protocol Level</t>
  </si>
  <si>
    <t>Add Notes at Protocol Level</t>
  </si>
  <si>
    <t>Ability to place a HOLD at Protocol level</t>
  </si>
  <si>
    <t>Select Specialty Services for a protocol</t>
  </si>
  <si>
    <t>Upload and attached Protocol Level Documents</t>
  </si>
  <si>
    <t>Add an Item within a Protocol</t>
  </si>
  <si>
    <t>XL; TMS; WORLD-STAR</t>
  </si>
  <si>
    <t>Add an Item to a Protocol with all the required information</t>
  </si>
  <si>
    <t>Select required Item from an Item Table</t>
  </si>
  <si>
    <t>Select required class from classification table</t>
  </si>
  <si>
    <t>Select required Temp_Opt from Temperature Option Table</t>
  </si>
  <si>
    <t>Select required documents from the Documents table</t>
  </si>
  <si>
    <t>Select required packaging from Packaging Table</t>
  </si>
  <si>
    <t>Select required Refrigerant option from Refrigerant Table</t>
  </si>
  <si>
    <t>View an Item overview within a Protocol</t>
  </si>
  <si>
    <t>Add notes to an Item</t>
  </si>
  <si>
    <t>Add a Consignee to a Protocol</t>
  </si>
  <si>
    <t>Create a new Consignee with required information</t>
  </si>
  <si>
    <t>Assign driveaway APC based on the address entered at Consignee Level</t>
  </si>
  <si>
    <t>Add Consignee Primary and Secondary Contacts details</t>
  </si>
  <si>
    <t>Add Consignee DG Emergency Contact details</t>
  </si>
  <si>
    <t>Add notes at Consignee level</t>
  </si>
  <si>
    <t>Ability to bulk upload Consignee Site addresses</t>
  </si>
  <si>
    <t>Attached and Upload required documents for a Consignee</t>
  </si>
  <si>
    <t>Add a Shipper to a Protocol</t>
  </si>
  <si>
    <t>Create new Shipper with required information</t>
  </si>
  <si>
    <t>Assign driveaway APC based on the address entered at Shipper Level</t>
  </si>
  <si>
    <t>Add Shipper Investigator details</t>
  </si>
  <si>
    <t>Add Shipper Contact details</t>
  </si>
  <si>
    <t>Add Shipper DG contact detail</t>
  </si>
  <si>
    <t>Display a list of all the shipper contacts within a Protocol</t>
  </si>
  <si>
    <t>Add notes at Shipper level</t>
  </si>
  <si>
    <t>Enter Shipping related instruction for Shipper</t>
  </si>
  <si>
    <t>Ability to bulk upload Shipper Site addressess</t>
  </si>
  <si>
    <t>Add Shipper Notification Checklist</t>
  </si>
  <si>
    <t>Ability to create and print Site instruction</t>
  </si>
  <si>
    <t>Standardize a SITE Instruction for global users</t>
  </si>
  <si>
    <t>Attached and upload required documents at shipper level</t>
  </si>
  <si>
    <t>Enter Shipping Instruction at Shipper Level</t>
  </si>
  <si>
    <t>Link Item-Consignee pairs to Shippers</t>
  </si>
  <si>
    <t>XL</t>
  </si>
  <si>
    <t>Link authorized Items (Commodity+Temp) to applicable Consignees</t>
  </si>
  <si>
    <t>Link Item-Consignee pairs to applicable Shippers</t>
  </si>
  <si>
    <t xml:space="preserve">Manually bulk link and Unlink Items (Commodity+Temp) to the applicable Consignees and Shippers </t>
  </si>
  <si>
    <t>Have the system assign a default Service Code to each Shipper-Item-Consignee combination</t>
  </si>
  <si>
    <t>Assign one or more Authorized Routes to Shipper-Item-Consignee combinations</t>
  </si>
  <si>
    <t xml:space="preserve">Add note field for user to enter routing restriction </t>
  </si>
  <si>
    <t>ADD LCT/LPT/RTG details</t>
  </si>
  <si>
    <t>Trial and Study Management</t>
  </si>
  <si>
    <t>Ability to make changes at studies/protocol level</t>
  </si>
  <si>
    <t>Display a pop-up message if duplicate found</t>
  </si>
  <si>
    <t>Ability to make changes to study level details including other WC offices</t>
  </si>
  <si>
    <t>Ability to approve a Study/Project</t>
  </si>
  <si>
    <t>Drive the status of a Study/Project based on the effective date</t>
  </si>
  <si>
    <t>Ability to make changes at Protocol Level details including other WC offices</t>
  </si>
  <si>
    <t>Drive the status of a Protocol based on the effective date</t>
  </si>
  <si>
    <t>Ability to print SITE instruction with all Consignees</t>
  </si>
  <si>
    <t>Ability to Edit fields related to an Item</t>
  </si>
  <si>
    <t>Ability to Delete an Item from a Protocol</t>
  </si>
  <si>
    <t>Remove packaging or refrigerant from an Item</t>
  </si>
  <si>
    <t>Need Bus Input</t>
  </si>
  <si>
    <t>Drive the status for the Packaging or Refrigerant of an Item based on the effective date</t>
  </si>
  <si>
    <t>Ability to edit fields related to the Shipper/Consignee</t>
  </si>
  <si>
    <t>Inactivate/Re-Activate/Remove a Shipper/Consignee from a study</t>
  </si>
  <si>
    <t>Inactivate/Re-activate/Remove Shipper/Consignee Contacts from a study</t>
  </si>
  <si>
    <t>Add/update/remove Notes at Study/Protocol/Item/Shipper/Consignee level</t>
  </si>
  <si>
    <t>Ability to add an existing Consignee to a Protocol</t>
  </si>
  <si>
    <t>Ability to add an existing Shipper to a Protocol</t>
  </si>
  <si>
    <t>Create/Remove/Update "master" instructions at different inherited levels</t>
  </si>
  <si>
    <t>Manage HWBs for a study/protocol</t>
  </si>
  <si>
    <t>L</t>
  </si>
  <si>
    <t>Manage and track HWBs</t>
  </si>
  <si>
    <t>Generate and Print Pre-printed HWBs for each Site</t>
  </si>
  <si>
    <t>Create an unique HWB number per job</t>
  </si>
  <si>
    <t>Maintain Site Pack document templates</t>
  </si>
  <si>
    <t>Upload and maintain Site Pack document templates</t>
  </si>
  <si>
    <t>Tailor a Site Pack Template to be Study Specific</t>
  </si>
  <si>
    <t xml:space="preserve">Save and Maintain the Tailored Study Templates </t>
  </si>
  <si>
    <t>Open, Tweak, and Print a Tailored Study Template for a Site</t>
  </si>
  <si>
    <t>Send Site packs by Mail/Email</t>
  </si>
  <si>
    <t>Record and Manage information related to the progress of sending out Site Packs to Sites</t>
  </si>
  <si>
    <t>Send alert/notification to impacted users only</t>
  </si>
  <si>
    <t>Notification Engine; XXL</t>
  </si>
  <si>
    <t>Ability to manage Opt in/Opt out options for email notification</t>
  </si>
  <si>
    <t>Send emails out to Contacts (Single or bulk) for a study</t>
  </si>
  <si>
    <t>Record and Maintain all the communication between customer and CTL</t>
  </si>
  <si>
    <t>Ability to send notification between users within the system (Single and/or groups)</t>
  </si>
  <si>
    <t>Send automated change notifications when changes are made to an Instruction</t>
  </si>
  <si>
    <t>Record and maintain all the customer complaints for a study</t>
  </si>
  <si>
    <t>Send automated change notifications when changes are made to a Shipper/Consignee level</t>
  </si>
  <si>
    <t>Send automated change notifications when changes are made to a Study/Project/Protocol/Item level</t>
  </si>
  <si>
    <t xml:space="preserve">Configure shipment notifications for a Study </t>
  </si>
  <si>
    <t>Send an Alert when new site address added to a study by CSR during shipment booking</t>
  </si>
  <si>
    <t>Ability to send 'on Demand' notification to all the impacted SITE offices.</t>
  </si>
  <si>
    <t>Send Alert to impacted CSR user when making changes to a shipment</t>
  </si>
  <si>
    <t>Send Alert to Impacted CTL users when CSR make changes to a Shipment information</t>
  </si>
  <si>
    <t>Shipment Booking and Consolidation</t>
  </si>
  <si>
    <t>Create and submit a shipment for a study</t>
  </si>
  <si>
    <t>OOE; TMS; WORLD-STAR; XXL</t>
  </si>
  <si>
    <t>Create a Booking form for Shipment</t>
  </si>
  <si>
    <t>Add new SITE to a study during Shipment Booking</t>
  </si>
  <si>
    <t xml:space="preserve">Ability to create parent/child job format </t>
  </si>
  <si>
    <t>Add a routing revision pop-up alert for user</t>
  </si>
  <si>
    <t>Record and Maintain all the changes made by CSR</t>
  </si>
  <si>
    <t>Ability to select packaging from pre-approved List</t>
  </si>
  <si>
    <t>Shipment consolidation rules for a project</t>
  </si>
  <si>
    <t>M</t>
  </si>
  <si>
    <t xml:space="preserve">Define shipment consolidation rules sets for projects/Segments (Domestic vs International) </t>
  </si>
  <si>
    <t>Suppress some regularly transmitted fields at any level</t>
  </si>
  <si>
    <t>Direct to patient services</t>
  </si>
  <si>
    <t>Direct to Patient (DTP)</t>
  </si>
  <si>
    <t>XXL + M</t>
  </si>
  <si>
    <t>Set DTP service indicator on Bio-STAR</t>
  </si>
  <si>
    <t>Add/Delete DTP service code on Bio-STAR</t>
  </si>
  <si>
    <t>Add/Delete DTP service code on TMS Shipment Screen</t>
  </si>
  <si>
    <t>Transmit DTP fields to Bio-Star integration</t>
  </si>
  <si>
    <t xml:space="preserve">Flag an item with limited Life Span </t>
  </si>
  <si>
    <t>Special Document handling for DTP services only</t>
  </si>
  <si>
    <t>Cell and Gene Therapy services</t>
  </si>
  <si>
    <t>Cell &amp; Gene Therapy</t>
  </si>
  <si>
    <t>eMDM; TMS; XXXL + L</t>
  </si>
  <si>
    <t>Set CGT service indicator on Bio-STAR</t>
  </si>
  <si>
    <t>Add/Delete CGT service code to Bio-STAR</t>
  </si>
  <si>
    <t>Add/Delete CGT service code to TMS Shipment Screen</t>
  </si>
  <si>
    <t>Transmit CGT fields to Bio-Star integration</t>
  </si>
  <si>
    <t>CGT Portal for Client</t>
  </si>
  <si>
    <t>CGT Dashboard/Homepage</t>
  </si>
  <si>
    <t>Tracking CGT shipment</t>
  </si>
  <si>
    <t>Ability to encrypte Confidential Patient Data</t>
  </si>
  <si>
    <t>NFR</t>
  </si>
  <si>
    <t>BioSphere Services</t>
  </si>
  <si>
    <t>BioSphere</t>
  </si>
  <si>
    <t>Integrator; XXXL + M</t>
  </si>
  <si>
    <t>HRS</t>
  </si>
  <si>
    <t>Set BioSphere Service Indicator on Bio-STAR</t>
  </si>
  <si>
    <t>Add/Delete BioSphere code on Bio-STAR</t>
  </si>
  <si>
    <t xml:space="preserve"> Add/view/Update/Delete Bio-Sphere code on TMS Shipment Screen</t>
  </si>
  <si>
    <t>Transmit BioSphere Field to Bio-Star Integration</t>
  </si>
  <si>
    <t>Display a list of third party integrator for BioSphere</t>
  </si>
  <si>
    <t>Provide an URL link for third party integrator with BioSphere service</t>
  </si>
  <si>
    <t>Search and Results</t>
  </si>
  <si>
    <t>Search a study with multiple parameters</t>
  </si>
  <si>
    <t>BUILD</t>
  </si>
  <si>
    <t>Ability for global Study search using multiple parameters</t>
  </si>
  <si>
    <t>View details about an existing project</t>
  </si>
  <si>
    <t xml:space="preserve">Search Protocol(s) with multiple parameters </t>
  </si>
  <si>
    <t>Search for a specific Segment across all Projects using multiple parameters</t>
  </si>
  <si>
    <t xml:space="preserve">See list of search results of the matching Segments and customize as necessary </t>
  </si>
  <si>
    <t>Search for a specific Lane within a Segment or across projects using multiple parameters</t>
  </si>
  <si>
    <t xml:space="preserve">See list of search results of the matching Lanes and customize as necessary </t>
  </si>
  <si>
    <t>Integration</t>
  </si>
  <si>
    <t>Integrate with eMDM</t>
  </si>
  <si>
    <t>Integrate with Notification Engine</t>
  </si>
  <si>
    <t>Integrate with TMS (By Directional)</t>
  </si>
  <si>
    <t>Integrate with WORLD-STAR (By Directional)</t>
  </si>
  <si>
    <t>SEC</t>
  </si>
  <si>
    <t>Integrate with SSO</t>
  </si>
  <si>
    <t>S</t>
  </si>
  <si>
    <t>Integrate with DW(orbis)</t>
  </si>
  <si>
    <t>Audit Trail</t>
  </si>
  <si>
    <t>Record, Maintain and Track all the changes related to a Study/Protocol/Project</t>
  </si>
  <si>
    <t>ORBIS; L</t>
  </si>
  <si>
    <t>Record, Maintain and Track the history of all the changes relates to a Study</t>
  </si>
  <si>
    <t>Reports</t>
  </si>
  <si>
    <t>Generate CTL Reports</t>
  </si>
  <si>
    <t>ORBIS; M; TMS; WORLD-STAR</t>
  </si>
  <si>
    <t>Generate CTL reports with multiple specifications</t>
  </si>
  <si>
    <t>Ability to run DTP/CGT report</t>
  </si>
  <si>
    <t>Run BioSphere report</t>
  </si>
  <si>
    <t>Ability to run New Studies/Protocols report</t>
  </si>
  <si>
    <t>Generate Sales Reports</t>
  </si>
  <si>
    <t>Generate Sales reports with multiple specifications</t>
  </si>
  <si>
    <t>Ability to run Sales report from Bio-STAR</t>
  </si>
  <si>
    <t>TMS Reports</t>
  </si>
  <si>
    <t>ORBIS; M; TMS</t>
  </si>
  <si>
    <t>Generate Customer reports with multiple specifications</t>
  </si>
  <si>
    <t>Ability to run Transit Detail report from TMS</t>
  </si>
  <si>
    <t xml:space="preserve">Data migration </t>
  </si>
  <si>
    <t>Data migration from WS Bio-STAR to New Bio-STAR</t>
  </si>
  <si>
    <t>XXXL + XL</t>
  </si>
  <si>
    <t>Non-Functional Requirements</t>
  </si>
  <si>
    <t>XXXL</t>
  </si>
  <si>
    <t>Onsite</t>
  </si>
  <si>
    <t>Offsite</t>
  </si>
  <si>
    <t>Iteration</t>
  </si>
  <si>
    <t>Number of Offshore</t>
  </si>
  <si>
    <t>No of Onsite resources</t>
  </si>
  <si>
    <t>12 iterations</t>
  </si>
  <si>
    <t>Rate</t>
  </si>
  <si>
    <t>Functional Testing</t>
  </si>
  <si>
    <t>Performance Testing</t>
  </si>
  <si>
    <t>Validation Testing</t>
  </si>
  <si>
    <t>Penentration testing</t>
  </si>
  <si>
    <t>Regression testing</t>
  </si>
  <si>
    <t>No of development iterations</t>
  </si>
  <si>
    <t>Contingency (15%)</t>
  </si>
  <si>
    <t>Total Combined capactity (per iteration)</t>
  </si>
  <si>
    <t>1 iteration</t>
  </si>
  <si>
    <t xml:space="preserve">** </t>
  </si>
  <si>
    <t>Security</t>
  </si>
  <si>
    <t>Ruturaaj</t>
  </si>
  <si>
    <t>Jeff Rollins</t>
  </si>
  <si>
    <t>Hours</t>
  </si>
  <si>
    <t>Dollar amount</t>
  </si>
  <si>
    <t>Testing**</t>
  </si>
  <si>
    <t>Hypercare***</t>
  </si>
  <si>
    <t>Size</t>
  </si>
  <si>
    <t>Wajahath Quraishi</t>
  </si>
  <si>
    <t>Scicley Christian</t>
  </si>
  <si>
    <t>Project Management*</t>
  </si>
  <si>
    <r>
      <t>Testing **</t>
    </r>
    <r>
      <rPr>
        <b/>
        <sz val="8"/>
        <color theme="1"/>
        <rFont val="Calibri"/>
        <family val="2"/>
        <scheme val="minor"/>
      </rPr>
      <t xml:space="preserve"> (Performance/Validation/Regression/Penetration/End to End)</t>
    </r>
  </si>
  <si>
    <t>Business Analyst</t>
  </si>
  <si>
    <t>Architect</t>
  </si>
  <si>
    <t>Datawarehouse</t>
  </si>
  <si>
    <t>Hypercare(3 weeks)</t>
  </si>
  <si>
    <t>Build/Development</t>
  </si>
  <si>
    <t>Total Cost</t>
  </si>
  <si>
    <t>Cost breakdown</t>
  </si>
  <si>
    <t>No of hours</t>
  </si>
  <si>
    <t>Cost per user</t>
  </si>
  <si>
    <t>Total cost</t>
  </si>
  <si>
    <t>No of users</t>
  </si>
  <si>
    <t>Salesforce licensing cost</t>
  </si>
  <si>
    <t xml:space="preserve">  Security shield</t>
  </si>
  <si>
    <t>Sitecore licensing cost</t>
  </si>
  <si>
    <t>Infrastructure cost</t>
  </si>
  <si>
    <t>Sitecore license</t>
  </si>
  <si>
    <t>Database setup cost</t>
  </si>
  <si>
    <t>Database license</t>
  </si>
  <si>
    <r>
      <t xml:space="preserve">Addition lower enviroments </t>
    </r>
    <r>
      <rPr>
        <sz val="11"/>
        <color theme="1"/>
        <rFont val="Calibri"/>
        <family val="2"/>
        <scheme val="minor"/>
      </rPr>
      <t>(Dev/QA/Stage/Prod)</t>
    </r>
  </si>
  <si>
    <t>Year 1</t>
  </si>
  <si>
    <t xml:space="preserve">  NA</t>
  </si>
  <si>
    <t>Year 2</t>
  </si>
  <si>
    <t>Year 3</t>
  </si>
  <si>
    <t>Year 4</t>
  </si>
  <si>
    <t>Year 5</t>
  </si>
  <si>
    <t>Sitecore license cost (1st year)</t>
  </si>
  <si>
    <t>Database license cost</t>
  </si>
  <si>
    <t>Sudhir Reddy</t>
  </si>
  <si>
    <t>Sahana Reddy</t>
  </si>
  <si>
    <t>Venu</t>
  </si>
  <si>
    <t>Jeannie</t>
  </si>
  <si>
    <t>Lighton-Humphreys, Leslie</t>
  </si>
  <si>
    <t>Jay Padmanathan</t>
  </si>
  <si>
    <t>Project/Program Management*</t>
  </si>
  <si>
    <t>Risks:</t>
  </si>
  <si>
    <t>Category</t>
  </si>
  <si>
    <t>Resource /Sourcing</t>
  </si>
  <si>
    <t>Schedule</t>
  </si>
  <si>
    <t>Constraints</t>
  </si>
  <si>
    <t xml:space="preserve"> user license New</t>
  </si>
  <si>
    <t>Current users</t>
  </si>
  <si>
    <t xml:space="preserve">Sales portal </t>
  </si>
  <si>
    <t>Cost /Budget</t>
  </si>
  <si>
    <t>We have to have the project go live by Dec 2019.</t>
  </si>
  <si>
    <t>Assumptions:</t>
  </si>
  <si>
    <r>
      <t>Estimates</t>
    </r>
    <r>
      <rPr>
        <sz val="11"/>
        <color rgb="FF000000"/>
        <rFont val="Calibri"/>
        <family val="2"/>
        <scheme val="minor"/>
      </rPr>
      <t>: The effort-wise build estimates are high level estimates and rough order of magnitude as its scope and requirements has not been fully defined.</t>
    </r>
  </si>
  <si>
    <r>
      <t>Integration to legacy</t>
    </r>
    <r>
      <rPr>
        <sz val="11"/>
        <color rgb="FF000000"/>
        <rFont val="Calibri"/>
        <family val="2"/>
        <scheme val="minor"/>
      </rPr>
      <t>: There will be no World star integration testing. This piece is not factored and is beyond the scope of these estimates and also this project.</t>
    </r>
  </si>
  <si>
    <r>
      <t>Sourcing</t>
    </r>
    <r>
      <rPr>
        <sz val="11"/>
        <color rgb="FF000000"/>
        <rFont val="Calibri"/>
        <family val="2"/>
        <scheme val="minor"/>
      </rPr>
      <t>: The team size for this build will be with 1 onsite and 2 offshore developer resources. We are anticipating a turn- around time for such request as to anywhere between 1 and 2 weeks(max)</t>
    </r>
  </si>
  <si>
    <r>
      <t>Core team</t>
    </r>
    <r>
      <rPr>
        <sz val="11"/>
        <color rgb="FF000000"/>
        <rFont val="Calibri"/>
        <family val="2"/>
        <scheme val="minor"/>
      </rPr>
      <t>:  Rajeev will be the architect with 50% allocation, Papri will be the Business Analyst 100% allocation, PM with 25% allocation and 3 developers (1 onsite/2offshore).</t>
    </r>
  </si>
  <si>
    <r>
      <t>Organization</t>
    </r>
    <r>
      <rPr>
        <sz val="11"/>
        <color rgb="FF000000"/>
        <rFont val="Calibri"/>
        <family val="2"/>
        <scheme val="minor"/>
      </rPr>
      <t xml:space="preserve"> : The estimated hours and allocation for roles such as PM activities, QA testing, Transition management as per the Customer Portal project.</t>
    </r>
  </si>
  <si>
    <r>
      <t>Project Methodology:</t>
    </r>
    <r>
      <rPr>
        <sz val="11"/>
        <color rgb="FF000000"/>
        <rFont val="Calibri"/>
        <family val="2"/>
        <scheme val="minor"/>
      </rPr>
      <t xml:space="preserve"> We will be following the Agile Scrum SAFE approach for software development with a standard 2 week iteration.</t>
    </r>
  </si>
  <si>
    <r>
      <t xml:space="preserve">Integration </t>
    </r>
    <r>
      <rPr>
        <sz val="11"/>
        <color rgb="FF000000"/>
        <rFont val="Calibri"/>
        <family val="2"/>
        <scheme val="minor"/>
      </rPr>
      <t>: There are various integration points MDM, Mulesoft, World Star etc. and discovery was done based on the current state of these integration components</t>
    </r>
  </si>
  <si>
    <r>
      <t>Testing</t>
    </r>
    <r>
      <rPr>
        <sz val="11"/>
        <color rgb="FF000000"/>
        <rFont val="Calibri"/>
        <family val="2"/>
        <scheme val="minor"/>
      </rPr>
      <t>: UAT and Validation will go in parallel-so any UAT defects need to account for any impact to Validation-this might impact program go live date</t>
    </r>
  </si>
  <si>
    <r>
      <t>Security Testing</t>
    </r>
    <r>
      <rPr>
        <sz val="11"/>
        <color rgb="FF000000"/>
        <rFont val="Calibri"/>
        <family val="2"/>
        <scheme val="minor"/>
      </rPr>
      <t>:  Security and Performance teams need to coordinate for execution</t>
    </r>
  </si>
  <si>
    <r>
      <t>Validation testing</t>
    </r>
    <r>
      <rPr>
        <sz val="11"/>
        <color rgb="FF000000"/>
        <rFont val="Calibri"/>
        <family val="2"/>
        <scheme val="minor"/>
      </rPr>
      <t xml:space="preserve">: Standard timeline for validated platforms is usually 2 weeks of execution time. </t>
    </r>
  </si>
  <si>
    <r>
      <t>Sitecore</t>
    </r>
    <r>
      <rPr>
        <sz val="11"/>
        <color rgb="FF000000"/>
        <rFont val="Calibri"/>
        <family val="2"/>
        <scheme val="minor"/>
      </rPr>
      <t>: We currently don’t have any Sitecore developer or expertise inhouse in ABC/WC. Has not been easy to find a suitable resource in the market</t>
    </r>
  </si>
  <si>
    <r>
      <t>Sitecore</t>
    </r>
    <r>
      <rPr>
        <sz val="11"/>
        <color rgb="FF000000"/>
        <rFont val="Calibri"/>
        <family val="2"/>
        <scheme val="minor"/>
      </rPr>
      <t>: The request for infra structure and setup on the environment can have a delays and unknown dependencies. To mitigate this so may need to be scheduled with adequate lead time.</t>
    </r>
  </si>
  <si>
    <t>Onsite (Hours)</t>
  </si>
  <si>
    <t>Offshore (hours)</t>
  </si>
  <si>
    <t>Task</t>
  </si>
  <si>
    <t xml:space="preserve">Salesforce User License </t>
  </si>
  <si>
    <t xml:space="preserve">Salesforce Shield </t>
  </si>
  <si>
    <t>Solution Architect</t>
  </si>
  <si>
    <t>Testing</t>
  </si>
  <si>
    <t>Data warehouse</t>
  </si>
  <si>
    <t>Project Management</t>
  </si>
  <si>
    <t>Hypercare</t>
  </si>
  <si>
    <t>Shared Infra</t>
  </si>
  <si>
    <t>SiteCore Platform</t>
  </si>
  <si>
    <t>Users(5% growth)</t>
  </si>
  <si>
    <t>Sitecore Licensing</t>
  </si>
  <si>
    <t>SQL DB License</t>
  </si>
  <si>
    <t>$42K</t>
  </si>
  <si>
    <t>Site core Licensing Cost</t>
  </si>
  <si>
    <t xml:space="preserve"> Salesforce Platform</t>
  </si>
  <si>
    <t>Bio-Star Users with 5% growth</t>
  </si>
  <si>
    <t>Salesforce Licensing fees for Bio-Star user</t>
  </si>
  <si>
    <t xml:space="preserve">Salesforce Portal users (For Customer Service users) </t>
  </si>
  <si>
    <t>Salesforce Shield Cost</t>
  </si>
  <si>
    <t>(20% of annual licensing cost of org. Which including 443 users )</t>
  </si>
  <si>
    <t>$264 X 200 =52,800</t>
  </si>
  <si>
    <t>800 X $40 = $32,000</t>
  </si>
  <si>
    <t>1,20,390</t>
  </si>
  <si>
    <t>$264 X 210 = 55,440</t>
  </si>
  <si>
    <t>840 X $40=  $33,600</t>
  </si>
  <si>
    <t>$264 X 222 = 58, 604</t>
  </si>
  <si>
    <t>882 X $40 = $35,280</t>
  </si>
  <si>
    <t>$264 X 233 = 61,512</t>
  </si>
  <si>
    <t>927 X $40 = $37,080</t>
  </si>
  <si>
    <t>$264 X 245 = 64,680</t>
  </si>
  <si>
    <t>974 X $40 = $38,960</t>
  </si>
  <si>
    <r>
      <t>Estimates:</t>
    </r>
    <r>
      <rPr>
        <sz val="11"/>
        <color rgb="FF000000"/>
        <rFont val="Calibri"/>
        <family val="2"/>
        <scheme val="minor"/>
      </rPr>
      <t xml:space="preserve"> These are high level estimates and we will deep dive into detailed requirements as we progress thru the project and may uncover more work for scope. The Contingency buffer will help mitigate this</t>
    </r>
  </si>
  <si>
    <t>Functional Testing,E2E,Regression,Automation</t>
  </si>
  <si>
    <t xml:space="preserve">$     156,956 </t>
  </si>
  <si>
    <t xml:space="preserve">$       21,644 </t>
  </si>
  <si>
    <t xml:space="preserve">$       26,640 </t>
  </si>
  <si>
    <t xml:space="preserve">$         205,240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</si>
</sst>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1" x14ac:knownFonts="1">
    <font>
      <sz val="11"/>
      <color theme="1"/>
      <name val="Calibri"/>
      <family val="2"/>
      <scheme val="minor"/>
    </font>
    <font>
      <b/>
      <sz val="11"/>
      <color theme="1"/>
      <name val="Calibri"/>
      <family val="2"/>
      <scheme val="minor"/>
    </font>
    <font>
      <b/>
      <sz val="8"/>
      <color theme="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sz val="16"/>
      <name val="Calibri"/>
      <family val="2"/>
      <scheme val="minor"/>
    </font>
    <font>
      <sz val="14"/>
      <color theme="1"/>
      <name val="Calibri"/>
      <family val="2"/>
      <scheme val="minor"/>
    </font>
    <font>
      <strike/>
      <sz val="11"/>
      <color theme="1"/>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
      <b/>
      <sz val="14"/>
      <color rgb="FF000000"/>
      <name val="Calibri"/>
      <family val="2"/>
      <scheme val="minor"/>
    </font>
    <font>
      <sz val="18"/>
      <name val="Arial"/>
      <family val="2"/>
    </font>
    <font>
      <sz val="16"/>
      <color rgb="FFFFFFFF"/>
      <name val="Arial"/>
      <family val="2"/>
    </font>
    <font>
      <sz val="14"/>
      <color rgb="FF636466"/>
      <name val="Arial"/>
      <family val="2"/>
    </font>
    <font>
      <sz val="16"/>
      <color rgb="FF636466"/>
      <name val="Arial"/>
      <family val="2"/>
    </font>
    <font>
      <sz val="14"/>
      <color rgb="FFFFFFFF"/>
      <name val="Arial"/>
      <family val="2"/>
    </font>
    <font>
      <b/>
      <sz val="12"/>
      <color rgb="FF000000"/>
      <name val="Calibri"/>
      <family val="2"/>
    </font>
    <font>
      <sz val="16"/>
      <color rgb="FF000000"/>
      <name val="Calibri"/>
      <family val="2"/>
    </font>
    <font>
      <sz val="14"/>
      <color rgb="FF000000"/>
      <name val="Calibri"/>
      <family val="2"/>
    </font>
    <font>
      <b/>
      <sz val="16"/>
      <color rgb="FF000000"/>
      <name val="Calibri"/>
      <family val="2"/>
    </font>
    <font>
      <b/>
      <sz val="14"/>
      <color rgb="FFFFFFFF"/>
      <name val="Arial"/>
      <family val="2"/>
    </font>
    <font>
      <b/>
      <sz val="10"/>
      <color rgb="FF00294E"/>
      <name val="Arial"/>
      <family val="2"/>
    </font>
    <font>
      <b/>
      <sz val="9"/>
      <color rgb="FF00294E"/>
      <name val="Arial"/>
      <family val="2"/>
    </font>
    <font>
      <b/>
      <sz val="8"/>
      <color rgb="FF00294E"/>
      <name val="Arial"/>
      <family val="2"/>
    </font>
    <font>
      <b/>
      <sz val="11"/>
      <color rgb="FF000000"/>
      <name val="Calibri"/>
      <family val="2"/>
    </font>
    <font>
      <sz val="12"/>
      <color rgb="FF000000"/>
      <name val="Calibri"/>
      <family val="2"/>
    </font>
    <font>
      <sz val="11"/>
      <color rgb="FF000000"/>
      <name val="Calibri"/>
      <family val="2"/>
    </font>
    <font>
      <sz val="12"/>
      <color rgb="FF1B1BDF"/>
      <name val="Cambria"/>
      <family val="1"/>
    </font>
  </fonts>
  <fills count="25">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2A9CFF"/>
        <bgColor indexed="64"/>
      </patternFill>
    </fill>
    <fill>
      <patternFill patternType="solid">
        <fgColor rgb="FFE7E8E9"/>
        <bgColor indexed="64"/>
      </patternFill>
    </fill>
    <fill>
      <patternFill patternType="solid">
        <fgColor rgb="FFBFBFBF"/>
        <bgColor indexed="64"/>
      </patternFill>
    </fill>
    <fill>
      <patternFill patternType="solid">
        <fgColor rgb="FFE7E6E6"/>
        <bgColor indexed="64"/>
      </patternFill>
    </fill>
    <fill>
      <patternFill patternType="solid">
        <fgColor rgb="FF9BC2E6"/>
        <bgColor indexed="64"/>
      </patternFill>
    </fill>
    <fill>
      <patternFill patternType="solid">
        <fgColor rgb="FFF4B084"/>
        <bgColor indexed="64"/>
      </patternFill>
    </fill>
    <fill>
      <patternFill patternType="solid">
        <fgColor rgb="FFFFC000"/>
        <bgColor indexed="64"/>
      </patternFill>
    </fill>
    <fill>
      <patternFill patternType="solid">
        <fgColor rgb="FFA9D08E"/>
        <bgColor indexed="64"/>
      </patternFill>
    </fill>
    <fill>
      <patternFill patternType="solid">
        <fgColor rgb="FFA5A5A5"/>
        <bgColor indexed="64"/>
      </patternFill>
    </fill>
    <fill>
      <patternFill patternType="solid">
        <fgColor rgb="FF002551"/>
        <bgColor indexed="64"/>
      </patternFill>
    </fill>
    <fill>
      <patternFill patternType="solid">
        <fgColor rgb="FFCBCDD0"/>
        <bgColor indexed="64"/>
      </patternFill>
    </fill>
    <fill>
      <patternFill patternType="solid">
        <fgColor rgb="FFBDD7EE"/>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FFFFFF"/>
      </left>
      <right style="medium">
        <color rgb="FFFFFFFF"/>
      </right>
      <top style="medium">
        <color rgb="FFFFFFFF"/>
      </top>
      <bottom style="medium">
        <color rgb="FF636466"/>
      </bottom>
      <diagonal/>
    </border>
    <border>
      <left style="medium">
        <color rgb="FF636466"/>
      </left>
      <right style="medium">
        <color rgb="FF636466"/>
      </right>
      <top style="medium">
        <color rgb="FF636466"/>
      </top>
      <bottom style="medium">
        <color rgb="FF636466"/>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49">
    <xf numFmtId="0" fontId="0" fillId="0" borderId="0" xfId="0"/>
    <xf numFmtId="49" fontId="0" fillId="0" borderId="0" xfId="0" applyNumberFormat="1"/>
    <xf numFmtId="0" fontId="0" fillId="0" borderId="0" xfId="0" applyNumberFormat="1"/>
    <xf numFmtId="1" fontId="0" fillId="0" borderId="0" xfId="0" applyNumberFormat="1"/>
    <xf numFmtId="0" fontId="0" fillId="0" borderId="1" xfId="0" applyBorder="1"/>
    <xf numFmtId="0" fontId="0" fillId="0" borderId="2" xfId="0" applyBorder="1"/>
    <xf numFmtId="0" fontId="0" fillId="2" borderId="3" xfId="0" applyFill="1" applyBorder="1"/>
    <xf numFmtId="0" fontId="0" fillId="2" borderId="4" xfId="0" applyFill="1" applyBorder="1"/>
    <xf numFmtId="0" fontId="0" fillId="0" borderId="0" xfId="0" applyBorder="1"/>
    <xf numFmtId="0" fontId="1" fillId="0" borderId="0" xfId="0" applyFont="1" applyFill="1" applyAlignment="1">
      <alignment vertical="center"/>
    </xf>
    <xf numFmtId="0" fontId="0" fillId="0" borderId="0" xfId="0" applyFill="1"/>
    <xf numFmtId="0" fontId="0" fillId="0" borderId="1" xfId="0" applyBorder="1" applyAlignment="1">
      <alignment horizontal="center"/>
    </xf>
    <xf numFmtId="0" fontId="0" fillId="0" borderId="0" xfId="0" applyAlignment="1">
      <alignment wrapText="1"/>
    </xf>
    <xf numFmtId="0" fontId="1" fillId="2" borderId="1" xfId="0" applyFont="1" applyFill="1" applyBorder="1"/>
    <xf numFmtId="0" fontId="1" fillId="0" borderId="1" xfId="0" applyFont="1" applyBorder="1"/>
    <xf numFmtId="0" fontId="1" fillId="0" borderId="1" xfId="0" applyFont="1" applyBorder="1" applyAlignment="1">
      <alignment wrapText="1"/>
    </xf>
    <xf numFmtId="0" fontId="0" fillId="0" borderId="0" xfId="0" applyFill="1" applyBorder="1"/>
    <xf numFmtId="0" fontId="1" fillId="0" borderId="1" xfId="0" applyFont="1" applyBorder="1" applyAlignment="1">
      <alignment vertical="top" wrapText="1"/>
    </xf>
    <xf numFmtId="0" fontId="0" fillId="0" borderId="1" xfId="0" applyFill="1" applyBorder="1"/>
    <xf numFmtId="0" fontId="1" fillId="3" borderId="1" xfId="0" applyFont="1" applyFill="1" applyBorder="1"/>
    <xf numFmtId="0" fontId="0" fillId="0" borderId="1" xfId="0" applyBorder="1" applyAlignment="1">
      <alignment horizontal="center" vertical="center"/>
    </xf>
    <xf numFmtId="0" fontId="0" fillId="0" borderId="5" xfId="0" applyBorder="1" applyAlignment="1">
      <alignment horizontal="center"/>
    </xf>
    <xf numFmtId="0" fontId="0" fillId="0" borderId="1" xfId="0" applyBorder="1" applyAlignment="1">
      <alignment horizontal="right"/>
    </xf>
    <xf numFmtId="0" fontId="1" fillId="4" borderId="1" xfId="0" applyFont="1" applyFill="1" applyBorder="1"/>
    <xf numFmtId="0" fontId="1" fillId="5" borderId="1" xfId="0" applyFont="1" applyFill="1" applyBorder="1"/>
    <xf numFmtId="0" fontId="1" fillId="6" borderId="1" xfId="0" applyFont="1" applyFill="1" applyBorder="1"/>
    <xf numFmtId="0" fontId="0" fillId="0" borderId="6" xfId="0" applyBorder="1"/>
    <xf numFmtId="0" fontId="3" fillId="7" borderId="1" xfId="0" applyFont="1" applyFill="1" applyBorder="1"/>
    <xf numFmtId="0" fontId="3" fillId="8" borderId="1" xfId="0" applyFont="1" applyFill="1" applyBorder="1"/>
    <xf numFmtId="0" fontId="5"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7" fillId="0" borderId="1" xfId="0" applyFont="1" applyBorder="1"/>
    <xf numFmtId="0" fontId="7" fillId="7" borderId="1" xfId="0" applyFont="1" applyFill="1" applyBorder="1"/>
    <xf numFmtId="0" fontId="7" fillId="10" borderId="1" xfId="0" applyFont="1" applyFill="1" applyBorder="1"/>
    <xf numFmtId="0" fontId="7" fillId="0" borderId="1" xfId="0" applyFont="1" applyFill="1" applyBorder="1"/>
    <xf numFmtId="0" fontId="7" fillId="5" borderId="1" xfId="0" applyFont="1" applyFill="1" applyBorder="1"/>
    <xf numFmtId="0" fontId="7" fillId="9" borderId="1" xfId="0" applyFont="1" applyFill="1" applyBorder="1"/>
    <xf numFmtId="0" fontId="7" fillId="12" borderId="1" xfId="0" applyFont="1" applyFill="1" applyBorder="1"/>
    <xf numFmtId="0" fontId="6" fillId="11" borderId="1" xfId="0" applyFont="1" applyFill="1" applyBorder="1"/>
    <xf numFmtId="0" fontId="6" fillId="12" borderId="1" xfId="0" applyFont="1" applyFill="1" applyBorder="1" applyAlignment="1">
      <alignment wrapText="1"/>
    </xf>
    <xf numFmtId="0" fontId="6" fillId="7" borderId="1" xfId="0" applyFont="1" applyFill="1" applyBorder="1"/>
    <xf numFmtId="3" fontId="0" fillId="0" borderId="1" xfId="0" applyNumberFormat="1" applyBorder="1"/>
    <xf numFmtId="0" fontId="8" fillId="7" borderId="1" xfId="0" applyFont="1" applyFill="1" applyBorder="1"/>
    <xf numFmtId="3" fontId="8" fillId="0" borderId="1" xfId="0" applyNumberFormat="1" applyFont="1" applyBorder="1"/>
    <xf numFmtId="3" fontId="7" fillId="7" borderId="1" xfId="0" applyNumberFormat="1" applyFont="1" applyFill="1" applyBorder="1"/>
    <xf numFmtId="0" fontId="6" fillId="0" borderId="1" xfId="0" applyFont="1" applyBorder="1"/>
    <xf numFmtId="0" fontId="8" fillId="0" borderId="1" xfId="0" applyFont="1" applyBorder="1"/>
    <xf numFmtId="0" fontId="8" fillId="0" borderId="1" xfId="0" applyFont="1" applyFill="1" applyBorder="1"/>
    <xf numFmtId="0" fontId="8" fillId="8" borderId="1" xfId="0" applyFont="1" applyFill="1" applyBorder="1"/>
    <xf numFmtId="0" fontId="7" fillId="11" borderId="1" xfId="0" applyFont="1" applyFill="1" applyBorder="1"/>
    <xf numFmtId="0" fontId="0" fillId="0" borderId="0" xfId="0" applyBorder="1" applyAlignment="1">
      <alignment horizontal="right"/>
    </xf>
    <xf numFmtId="3" fontId="0" fillId="0" borderId="0" xfId="0" applyNumberFormat="1" applyFill="1" applyBorder="1"/>
    <xf numFmtId="0" fontId="8" fillId="0" borderId="0" xfId="0" applyFont="1" applyFill="1" applyBorder="1"/>
    <xf numFmtId="0" fontId="8" fillId="0" borderId="1" xfId="0" applyFont="1" applyFill="1" applyBorder="1" applyAlignment="1">
      <alignment horizontal="center" vertical="center"/>
    </xf>
    <xf numFmtId="0" fontId="6" fillId="10" borderId="1" xfId="0" applyFont="1" applyFill="1" applyBorder="1"/>
    <xf numFmtId="0" fontId="6" fillId="5" borderId="1" xfId="0" applyFont="1" applyFill="1" applyBorder="1"/>
    <xf numFmtId="0" fontId="6" fillId="9" borderId="1" xfId="0" applyFont="1" applyFill="1" applyBorder="1"/>
    <xf numFmtId="0" fontId="1" fillId="0" borderId="1" xfId="0" applyFont="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1" fillId="0" borderId="0" xfId="0" applyFont="1" applyAlignment="1">
      <alignment wrapText="1"/>
    </xf>
    <xf numFmtId="0" fontId="9" fillId="0" borderId="1" xfId="0" applyFont="1" applyFill="1" applyBorder="1"/>
    <xf numFmtId="0" fontId="9" fillId="0" borderId="1" xfId="0" applyFont="1" applyBorder="1"/>
    <xf numFmtId="0" fontId="9" fillId="0" borderId="1" xfId="0" applyFont="1" applyBorder="1" applyAlignment="1">
      <alignment horizontal="left"/>
    </xf>
    <xf numFmtId="0" fontId="6" fillId="0" borderId="0" xfId="0" applyFont="1"/>
    <xf numFmtId="0" fontId="6" fillId="12" borderId="1" xfId="0" applyFont="1" applyFill="1" applyBorder="1"/>
    <xf numFmtId="0" fontId="0" fillId="0" borderId="1" xfId="0" applyBorder="1" applyAlignment="1">
      <alignment wrapText="1"/>
    </xf>
    <xf numFmtId="0" fontId="0" fillId="12" borderId="1" xfId="0" applyFill="1" applyBorder="1"/>
    <xf numFmtId="0" fontId="10" fillId="0" borderId="7" xfId="0" applyFont="1" applyBorder="1" applyAlignment="1">
      <alignment vertical="center" wrapText="1"/>
    </xf>
    <xf numFmtId="0" fontId="11" fillId="0" borderId="8" xfId="0" applyFont="1" applyBorder="1" applyAlignment="1">
      <alignment vertical="center" wrapText="1"/>
    </xf>
    <xf numFmtId="0" fontId="11" fillId="0" borderId="8" xfId="0" applyFont="1" applyBorder="1" applyAlignment="1">
      <alignment vertical="center"/>
    </xf>
    <xf numFmtId="0" fontId="13" fillId="0" borderId="7" xfId="0" applyFont="1" applyBorder="1" applyAlignment="1">
      <alignment vertical="center" wrapText="1"/>
    </xf>
    <xf numFmtId="0" fontId="11" fillId="0" borderId="9" xfId="0" applyFont="1" applyBorder="1" applyAlignment="1">
      <alignment vertical="center"/>
    </xf>
    <xf numFmtId="0" fontId="12" fillId="0" borderId="10" xfId="0" applyFont="1" applyBorder="1" applyAlignment="1">
      <alignment vertical="center"/>
    </xf>
    <xf numFmtId="0" fontId="12" fillId="0" borderId="10" xfId="0" applyFont="1" applyBorder="1" applyAlignment="1">
      <alignment vertical="center" wrapText="1"/>
    </xf>
    <xf numFmtId="0" fontId="15" fillId="13" borderId="11" xfId="0" applyFont="1" applyFill="1" applyBorder="1" applyAlignment="1">
      <alignment horizontal="center" vertical="top" wrapText="1" readingOrder="1"/>
    </xf>
    <xf numFmtId="0" fontId="16" fillId="14" borderId="12" xfId="0" applyFont="1" applyFill="1" applyBorder="1" applyAlignment="1">
      <alignment horizontal="left" vertical="top" wrapText="1" readingOrder="1"/>
    </xf>
    <xf numFmtId="6" fontId="16" fillId="14" borderId="12" xfId="0" applyNumberFormat="1" applyFont="1" applyFill="1" applyBorder="1" applyAlignment="1">
      <alignment horizontal="right" vertical="top" wrapText="1" readingOrder="1"/>
    </xf>
    <xf numFmtId="0" fontId="16" fillId="14" borderId="12" xfId="0" applyFont="1" applyFill="1" applyBorder="1" applyAlignment="1">
      <alignment horizontal="right" vertical="top" wrapText="1" readingOrder="1"/>
    </xf>
    <xf numFmtId="0" fontId="17" fillId="13" borderId="12" xfId="0" applyFont="1" applyFill="1" applyBorder="1" applyAlignment="1">
      <alignment horizontal="left" vertical="top" wrapText="1" readingOrder="1"/>
    </xf>
    <xf numFmtId="0" fontId="18" fillId="13" borderId="12" xfId="0" applyFont="1" applyFill="1" applyBorder="1" applyAlignment="1">
      <alignment horizontal="right" vertical="top" wrapText="1" readingOrder="1"/>
    </xf>
    <xf numFmtId="6" fontId="18" fillId="13" borderId="12" xfId="0" applyNumberFormat="1" applyFont="1" applyFill="1" applyBorder="1" applyAlignment="1">
      <alignment horizontal="right" vertical="top" wrapText="1" readingOrder="1"/>
    </xf>
    <xf numFmtId="0" fontId="19" fillId="15" borderId="13" xfId="0" applyFont="1" applyFill="1" applyBorder="1" applyAlignment="1">
      <alignment horizontal="center" vertical="center" wrapText="1" readingOrder="1"/>
    </xf>
    <xf numFmtId="0" fontId="20" fillId="0" borderId="13" xfId="0" applyFont="1" applyBorder="1" applyAlignment="1">
      <alignment horizontal="left" wrapText="1" readingOrder="1"/>
    </xf>
    <xf numFmtId="0" fontId="20" fillId="0" borderId="13" xfId="0" applyFont="1" applyBorder="1" applyAlignment="1">
      <alignment horizontal="right" wrapText="1" readingOrder="1"/>
    </xf>
    <xf numFmtId="0" fontId="20" fillId="16" borderId="13" xfId="0" applyFont="1" applyFill="1" applyBorder="1" applyAlignment="1">
      <alignment horizontal="left" wrapText="1" readingOrder="1"/>
    </xf>
    <xf numFmtId="0" fontId="20" fillId="16" borderId="13" xfId="0" applyFont="1" applyFill="1" applyBorder="1" applyAlignment="1">
      <alignment horizontal="right" wrapText="1" readingOrder="1"/>
    </xf>
    <xf numFmtId="0" fontId="20" fillId="17" borderId="13" xfId="0" applyFont="1" applyFill="1" applyBorder="1" applyAlignment="1">
      <alignment horizontal="left" wrapText="1" readingOrder="1"/>
    </xf>
    <xf numFmtId="0" fontId="20" fillId="18" borderId="13" xfId="0" applyFont="1" applyFill="1" applyBorder="1" applyAlignment="1">
      <alignment horizontal="left" wrapText="1" readingOrder="1"/>
    </xf>
    <xf numFmtId="0" fontId="21" fillId="0" borderId="13" xfId="0" applyFont="1" applyBorder="1" applyAlignment="1">
      <alignment horizontal="right" wrapText="1" readingOrder="1"/>
    </xf>
    <xf numFmtId="0" fontId="20" fillId="19" borderId="13" xfId="0" applyFont="1" applyFill="1" applyBorder="1" applyAlignment="1">
      <alignment horizontal="left" wrapText="1" readingOrder="1"/>
    </xf>
    <xf numFmtId="0" fontId="20" fillId="20" borderId="13" xfId="0" applyFont="1" applyFill="1" applyBorder="1" applyAlignment="1">
      <alignment horizontal="left" wrapText="1" readingOrder="1"/>
    </xf>
    <xf numFmtId="3" fontId="20" fillId="16" borderId="13" xfId="0" applyNumberFormat="1" applyFont="1" applyFill="1" applyBorder="1" applyAlignment="1">
      <alignment horizontal="right" wrapText="1" readingOrder="1"/>
    </xf>
    <xf numFmtId="0" fontId="22" fillId="21" borderId="13" xfId="0" applyFont="1" applyFill="1" applyBorder="1" applyAlignment="1">
      <alignment horizontal="left" wrapText="1" readingOrder="1"/>
    </xf>
    <xf numFmtId="0" fontId="22" fillId="21" borderId="13" xfId="0" applyFont="1" applyFill="1" applyBorder="1" applyAlignment="1">
      <alignment horizontal="right" wrapText="1" readingOrder="1"/>
    </xf>
    <xf numFmtId="0" fontId="14" fillId="22" borderId="14" xfId="0" applyFont="1" applyFill="1" applyBorder="1" applyAlignment="1">
      <alignment vertical="top" wrapText="1"/>
    </xf>
    <xf numFmtId="0" fontId="14" fillId="23" borderId="18" xfId="0" applyFont="1" applyFill="1" applyBorder="1" applyAlignment="1">
      <alignment horizontal="left" vertical="center" wrapText="1" indent="1"/>
    </xf>
    <xf numFmtId="0" fontId="24" fillId="23" borderId="18" xfId="0" applyFont="1" applyFill="1" applyBorder="1" applyAlignment="1">
      <alignment horizontal="left" vertical="center" wrapText="1" indent="1" readingOrder="1"/>
    </xf>
    <xf numFmtId="0" fontId="24" fillId="14" borderId="19" xfId="0" applyFont="1" applyFill="1" applyBorder="1" applyAlignment="1">
      <alignment horizontal="left" vertical="center" wrapText="1" indent="1" readingOrder="1"/>
    </xf>
    <xf numFmtId="6" fontId="24" fillId="14" borderId="19" xfId="0" applyNumberFormat="1" applyFont="1" applyFill="1" applyBorder="1" applyAlignment="1">
      <alignment horizontal="left" vertical="center" wrapText="1" indent="1" readingOrder="1"/>
    </xf>
    <xf numFmtId="0" fontId="24" fillId="23" borderId="19" xfId="0" applyFont="1" applyFill="1" applyBorder="1" applyAlignment="1">
      <alignment horizontal="left" vertical="center" wrapText="1" indent="1" readingOrder="1"/>
    </xf>
    <xf numFmtId="6" fontId="24" fillId="23" borderId="19" xfId="0" applyNumberFormat="1" applyFont="1" applyFill="1" applyBorder="1" applyAlignment="1">
      <alignment horizontal="left" vertical="center" wrapText="1" indent="1" readingOrder="1"/>
    </xf>
    <xf numFmtId="0" fontId="23" fillId="22" borderId="15" xfId="0" applyFont="1" applyFill="1" applyBorder="1" applyAlignment="1">
      <alignment horizontal="left" vertical="center" wrapText="1" readingOrder="1"/>
    </xf>
    <xf numFmtId="0" fontId="23" fillId="22" borderId="16" xfId="0" applyFont="1" applyFill="1" applyBorder="1" applyAlignment="1">
      <alignment horizontal="left" vertical="center" wrapText="1" readingOrder="1"/>
    </xf>
    <xf numFmtId="0" fontId="23" fillId="22" borderId="17" xfId="0" applyFont="1" applyFill="1" applyBorder="1" applyAlignment="1">
      <alignment horizontal="left" vertical="center" wrapText="1" readingOrder="1"/>
    </xf>
    <xf numFmtId="0" fontId="0" fillId="12" borderId="0" xfId="0" applyFill="1"/>
    <xf numFmtId="0" fontId="14" fillId="12" borderId="0" xfId="0" applyFont="1" applyFill="1" applyBorder="1" applyAlignment="1">
      <alignment vertical="top" wrapText="1"/>
    </xf>
    <xf numFmtId="0" fontId="24" fillId="12" borderId="0" xfId="0" applyFont="1" applyFill="1" applyBorder="1" applyAlignment="1">
      <alignment horizontal="left" vertical="center" wrapText="1" indent="1" readingOrder="1"/>
    </xf>
    <xf numFmtId="6" fontId="24" fillId="12" borderId="0" xfId="0" applyNumberFormat="1" applyFont="1" applyFill="1" applyBorder="1" applyAlignment="1">
      <alignment horizontal="left" vertical="center" wrapText="1" indent="1" readingOrder="1"/>
    </xf>
    <xf numFmtId="0" fontId="5" fillId="0" borderId="0" xfId="0" applyFont="1"/>
    <xf numFmtId="0" fontId="24" fillId="23" borderId="20" xfId="0" applyFont="1" applyFill="1" applyBorder="1" applyAlignment="1">
      <alignment horizontal="left" vertical="center" wrapText="1" indent="1" readingOrder="1"/>
    </xf>
    <xf numFmtId="0" fontId="24" fillId="14" borderId="19" xfId="0" applyFont="1" applyFill="1" applyBorder="1" applyAlignment="1">
      <alignment horizontal="center" vertical="center" wrapText="1" readingOrder="1"/>
    </xf>
    <xf numFmtId="6" fontId="24" fillId="14" borderId="19" xfId="0" applyNumberFormat="1" applyFont="1" applyFill="1" applyBorder="1" applyAlignment="1">
      <alignment horizontal="center" vertical="center" wrapText="1" readingOrder="1"/>
    </xf>
    <xf numFmtId="0" fontId="24" fillId="23" borderId="19" xfId="0" applyFont="1" applyFill="1" applyBorder="1" applyAlignment="1">
      <alignment horizontal="center" vertical="center" wrapText="1" readingOrder="1"/>
    </xf>
    <xf numFmtId="6" fontId="24" fillId="23" borderId="19" xfId="0" applyNumberFormat="1" applyFont="1" applyFill="1" applyBorder="1" applyAlignment="1">
      <alignment horizontal="center" vertical="center" wrapText="1" readingOrder="1"/>
    </xf>
    <xf numFmtId="0" fontId="14" fillId="23" borderId="19" xfId="0" applyFont="1" applyFill="1" applyBorder="1" applyAlignment="1">
      <alignment horizontal="left" vertical="center" wrapText="1" indent="1"/>
    </xf>
    <xf numFmtId="0" fontId="14" fillId="14" borderId="19" xfId="0" applyFont="1" applyFill="1" applyBorder="1" applyAlignment="1">
      <alignment horizontal="center" vertical="center" wrapText="1"/>
    </xf>
    <xf numFmtId="0" fontId="14" fillId="14" borderId="19" xfId="0" applyFont="1" applyFill="1" applyBorder="1" applyAlignment="1">
      <alignment horizontal="left" vertical="center" wrapText="1" indent="1"/>
    </xf>
    <xf numFmtId="0" fontId="14" fillId="23" borderId="19" xfId="0" applyFont="1" applyFill="1" applyBorder="1" applyAlignment="1">
      <alignment horizontal="center" vertical="center" wrapText="1"/>
    </xf>
    <xf numFmtId="0" fontId="14" fillId="23" borderId="20" xfId="0" applyFont="1" applyFill="1" applyBorder="1" applyAlignment="1">
      <alignment horizontal="left" vertical="center" wrapText="1" indent="1"/>
    </xf>
    <xf numFmtId="0" fontId="14" fillId="23" borderId="21" xfId="0" applyFont="1" applyFill="1" applyBorder="1" applyAlignment="1">
      <alignment horizontal="left" vertical="center" wrapText="1" indent="1"/>
    </xf>
    <xf numFmtId="0" fontId="24" fillId="23" borderId="20" xfId="0" applyFont="1" applyFill="1" applyBorder="1" applyAlignment="1">
      <alignment horizontal="left" vertical="center" wrapText="1" indent="1" readingOrder="1"/>
    </xf>
    <xf numFmtId="0" fontId="24" fillId="23" borderId="21" xfId="0" applyFont="1" applyFill="1" applyBorder="1" applyAlignment="1">
      <alignment horizontal="left" vertical="center" wrapText="1" indent="1" readingOrder="1"/>
    </xf>
    <xf numFmtId="0" fontId="26" fillId="23" borderId="21" xfId="0" applyFont="1" applyFill="1" applyBorder="1" applyAlignment="1">
      <alignment horizontal="left" vertical="center" wrapText="1" indent="1" readingOrder="1"/>
    </xf>
    <xf numFmtId="0" fontId="25" fillId="23" borderId="20" xfId="0" applyFont="1" applyFill="1" applyBorder="1" applyAlignment="1">
      <alignment horizontal="left" vertical="center" wrapText="1" indent="1" readingOrder="1"/>
    </xf>
    <xf numFmtId="0" fontId="25" fillId="23" borderId="21" xfId="0" applyFont="1" applyFill="1" applyBorder="1" applyAlignment="1">
      <alignment horizontal="left" vertical="center" wrapText="1" indent="1" readingOrder="1"/>
    </xf>
    <xf numFmtId="0" fontId="23" fillId="12" borderId="0" xfId="0" applyFont="1" applyFill="1" applyBorder="1" applyAlignment="1">
      <alignment horizontal="left" vertical="center" wrapText="1" readingOrder="1"/>
    </xf>
    <xf numFmtId="0" fontId="25" fillId="12" borderId="0" xfId="0" applyFont="1" applyFill="1" applyBorder="1" applyAlignment="1">
      <alignment horizontal="left" vertical="center" wrapText="1" indent="1" readingOrder="1"/>
    </xf>
    <xf numFmtId="0" fontId="14" fillId="12" borderId="0" xfId="0" applyFont="1" applyFill="1" applyBorder="1" applyAlignment="1">
      <alignment horizontal="left" vertical="center" wrapText="1" indent="1"/>
    </xf>
    <xf numFmtId="0" fontId="0" fillId="12" borderId="0" xfId="0" applyFill="1" applyBorder="1"/>
    <xf numFmtId="0" fontId="27" fillId="24" borderId="7" xfId="0" applyFont="1" applyFill="1" applyBorder="1" applyAlignment="1">
      <alignment vertical="center"/>
    </xf>
    <xf numFmtId="0" fontId="27" fillId="24" borderId="9" xfId="0" applyFont="1" applyFill="1" applyBorder="1" applyAlignment="1">
      <alignment horizontal="center" vertical="center"/>
    </xf>
    <xf numFmtId="0" fontId="27" fillId="24" borderId="9" xfId="0" applyFont="1" applyFill="1" applyBorder="1" applyAlignment="1">
      <alignment horizontal="center" vertical="center" wrapText="1"/>
    </xf>
    <xf numFmtId="0" fontId="28" fillId="0" borderId="8" xfId="0" applyFont="1" applyBorder="1" applyAlignment="1">
      <alignment vertical="center" wrapText="1"/>
    </xf>
    <xf numFmtId="0" fontId="29" fillId="0" borderId="10" xfId="0" applyFont="1" applyBorder="1" applyAlignment="1">
      <alignment horizontal="center" vertical="center"/>
    </xf>
    <xf numFmtId="0" fontId="28" fillId="0" borderId="10" xfId="0" applyFont="1" applyBorder="1" applyAlignment="1">
      <alignment horizontal="center" vertical="center"/>
    </xf>
    <xf numFmtId="0" fontId="29" fillId="0" borderId="8" xfId="0" applyFont="1" applyBorder="1" applyAlignment="1">
      <alignment vertical="center"/>
    </xf>
    <xf numFmtId="0" fontId="29" fillId="0" borderId="8" xfId="0" applyFont="1" applyBorder="1" applyAlignment="1">
      <alignment horizontal="right" vertical="center"/>
    </xf>
    <xf numFmtId="0" fontId="30" fillId="0" borderId="0" xfId="0" applyFont="1" applyAlignment="1">
      <alignment vertical="center"/>
    </xf>
    <xf numFmtId="0" fontId="0" fillId="0" borderId="0" xfId="0" applyBorder="1" applyAlignment="1">
      <alignment horizontal="center"/>
    </xf>
    <xf numFmtId="0" fontId="1" fillId="12" borderId="0" xfId="0" applyFont="1" applyFill="1" applyBorder="1"/>
    <xf numFmtId="0" fontId="1" fillId="12" borderId="0" xfId="0" applyFont="1" applyFill="1" applyBorder="1" applyAlignment="1">
      <alignment horizontal="center"/>
    </xf>
    <xf numFmtId="0" fontId="1" fillId="12" borderId="0" xfId="0" applyFont="1" applyFill="1" applyBorder="1" applyAlignment="1">
      <alignment horizontal="center" wrapText="1"/>
    </xf>
    <xf numFmtId="0" fontId="29" fillId="0" borderId="23" xfId="0" applyFont="1" applyBorder="1" applyAlignment="1">
      <alignment horizontal="center" vertical="center"/>
    </xf>
    <xf numFmtId="0" fontId="29" fillId="0" borderId="22" xfId="0" applyFont="1" applyBorder="1" applyAlignment="1">
      <alignment vertical="center"/>
    </xf>
    <xf numFmtId="0" fontId="28" fillId="0" borderId="23" xfId="0" applyFont="1" applyBorder="1" applyAlignment="1">
      <alignment horizontal="center" vertical="center"/>
    </xf>
    <xf numFmtId="0" fontId="29" fillId="0" borderId="1" xfId="0" applyFont="1" applyBorder="1" applyAlignment="1">
      <alignment horizontal="right" vertical="center"/>
    </xf>
    <xf numFmtId="0" fontId="29" fillId="0" borderId="1" xfId="0" applyFont="1" applyBorder="1" applyAlignment="1">
      <alignment horizontal="center" vertic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leted_VSTS_18a4e587_01b8_40d9_a1cf_c1642119e647" displayName="deleted_VSTS_18a4e587_01b8_40d9_a1cf_c1642119e647" ref="A2:H185" totalsRowCount="1">
  <autoFilter ref="A2:H184" xr:uid="{00000000-0009-0000-0100-000001000000}">
    <filterColumn colId="1">
      <filters>
        <filter val="Feature"/>
      </filters>
    </filterColumn>
  </autoFilter>
  <tableColumns count="8">
    <tableColumn id="1" xr3:uid="{00000000-0010-0000-0000-000001000000}" name="ID" dataDxfId="15" totalsRowDxfId="14"/>
    <tableColumn id="2" xr3:uid="{00000000-0010-0000-0000-000002000000}" name="Work Item Type" dataDxfId="13" totalsRowDxfId="12"/>
    <tableColumn id="3" xr3:uid="{00000000-0010-0000-0000-000003000000}" name="Title 1" dataDxfId="11" totalsRowDxfId="10"/>
    <tableColumn id="4" xr3:uid="{00000000-0010-0000-0000-000004000000}" name="Title 2" dataDxfId="9" totalsRowDxfId="8"/>
    <tableColumn id="5" xr3:uid="{00000000-0010-0000-0000-000005000000}" name="Title 3" dataDxfId="7" totalsRowDxfId="6"/>
    <tableColumn id="6" xr3:uid="{00000000-0010-0000-0000-000006000000}" name="State" dataDxfId="5" totalsRowDxfId="4"/>
    <tableColumn id="7" xr3:uid="{00000000-0010-0000-0000-000007000000}" name="Tags" dataDxfId="3" totalsRowDxfId="2"/>
    <tableColumn id="8" xr3:uid="{00000000-0010-0000-0000-000008000000}" name="Salesforce" totalsRowFunction="custom" dataDxfId="1" totalsRowDxfId="0">
      <totalsRowFormula>SUM(H4:H184)</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8"/>
  <sheetViews>
    <sheetView topLeftCell="E153" zoomScale="130" zoomScaleNormal="130" workbookViewId="0">
      <selection activeCell="H187" sqref="H187"/>
    </sheetView>
  </sheetViews>
  <sheetFormatPr defaultRowHeight="15" x14ac:dyDescent="0.25"/>
  <cols>
    <col min="4" max="4" width="71.85546875" bestFit="1" customWidth="1"/>
    <col min="5" max="5" width="4.28515625" customWidth="1"/>
    <col min="7" max="7" width="27" bestFit="1" customWidth="1"/>
    <col min="8" max="8" width="15.85546875" customWidth="1"/>
  </cols>
  <sheetData>
    <row r="1" spans="1:8" ht="15" customHeight="1" x14ac:dyDescent="0.25">
      <c r="A1" s="9"/>
      <c r="B1" s="10"/>
      <c r="C1" s="10"/>
      <c r="D1" s="10"/>
      <c r="E1" s="10"/>
      <c r="F1" s="10"/>
      <c r="G1" s="10"/>
      <c r="H1" s="10"/>
    </row>
    <row r="2" spans="1:8" x14ac:dyDescent="0.25">
      <c r="A2" s="1" t="s">
        <v>0</v>
      </c>
      <c r="B2" s="1" t="s">
        <v>1</v>
      </c>
      <c r="C2" s="1" t="s">
        <v>2</v>
      </c>
      <c r="D2" s="1" t="s">
        <v>3</v>
      </c>
      <c r="E2" s="1" t="s">
        <v>4</v>
      </c>
      <c r="F2" s="1" t="s">
        <v>5</v>
      </c>
      <c r="G2" s="1" t="s">
        <v>6</v>
      </c>
      <c r="H2" s="2" t="s">
        <v>7</v>
      </c>
    </row>
    <row r="3" spans="1:8" hidden="1" x14ac:dyDescent="0.25">
      <c r="A3" s="3">
        <v>90078</v>
      </c>
      <c r="B3" s="1" t="s">
        <v>8</v>
      </c>
      <c r="C3" s="1" t="s">
        <v>9</v>
      </c>
      <c r="D3" s="2"/>
      <c r="E3" s="2"/>
      <c r="F3" s="1" t="s">
        <v>10</v>
      </c>
      <c r="G3" s="2" t="s">
        <v>11</v>
      </c>
      <c r="H3" s="2"/>
    </row>
    <row r="4" spans="1:8" x14ac:dyDescent="0.25">
      <c r="A4" s="3">
        <v>90097</v>
      </c>
      <c r="B4" s="1" t="s">
        <v>12</v>
      </c>
      <c r="C4" s="1"/>
      <c r="D4" s="2" t="s">
        <v>13</v>
      </c>
      <c r="E4" s="2"/>
      <c r="F4" s="1" t="s">
        <v>10</v>
      </c>
      <c r="G4" s="2" t="s">
        <v>14</v>
      </c>
      <c r="H4" s="2">
        <v>160</v>
      </c>
    </row>
    <row r="5" spans="1:8" hidden="1" x14ac:dyDescent="0.25">
      <c r="A5" s="3">
        <v>90219</v>
      </c>
      <c r="B5" s="1" t="s">
        <v>15</v>
      </c>
      <c r="C5" s="1"/>
      <c r="D5" s="2"/>
      <c r="E5" s="2" t="s">
        <v>16</v>
      </c>
      <c r="F5" s="1" t="s">
        <v>10</v>
      </c>
      <c r="G5" s="2"/>
      <c r="H5" s="2"/>
    </row>
    <row r="6" spans="1:8" hidden="1" x14ac:dyDescent="0.25">
      <c r="A6" s="3">
        <v>92979</v>
      </c>
      <c r="B6" s="1" t="s">
        <v>15</v>
      </c>
      <c r="C6" s="1"/>
      <c r="D6" s="2"/>
      <c r="E6" s="2" t="s">
        <v>17</v>
      </c>
      <c r="F6" s="1" t="s">
        <v>10</v>
      </c>
      <c r="G6" s="2"/>
      <c r="H6" s="2"/>
    </row>
    <row r="7" spans="1:8" hidden="1" x14ac:dyDescent="0.25">
      <c r="A7" s="3">
        <v>94535</v>
      </c>
      <c r="B7" s="1" t="s">
        <v>15</v>
      </c>
      <c r="C7" s="1"/>
      <c r="D7" s="2"/>
      <c r="E7" s="2" t="s">
        <v>18</v>
      </c>
      <c r="F7" s="1" t="s">
        <v>10</v>
      </c>
      <c r="G7" s="2"/>
      <c r="H7" s="2"/>
    </row>
    <row r="8" spans="1:8" hidden="1" x14ac:dyDescent="0.25">
      <c r="A8" s="3">
        <v>93220</v>
      </c>
      <c r="B8" s="1" t="s">
        <v>15</v>
      </c>
      <c r="C8" s="1"/>
      <c r="D8" s="2"/>
      <c r="E8" s="2" t="s">
        <v>19</v>
      </c>
      <c r="F8" s="1" t="s">
        <v>10</v>
      </c>
      <c r="G8" s="2"/>
      <c r="H8" s="2"/>
    </row>
    <row r="9" spans="1:8" hidden="1" x14ac:dyDescent="0.25">
      <c r="A9" s="3">
        <v>93277</v>
      </c>
      <c r="B9" s="1" t="s">
        <v>15</v>
      </c>
      <c r="C9" s="1"/>
      <c r="D9" s="2"/>
      <c r="E9" s="2" t="s">
        <v>20</v>
      </c>
      <c r="F9" s="1" t="s">
        <v>10</v>
      </c>
      <c r="G9" s="2"/>
      <c r="H9" s="2"/>
    </row>
    <row r="10" spans="1:8" hidden="1" x14ac:dyDescent="0.25">
      <c r="A10" s="3">
        <v>93406</v>
      </c>
      <c r="B10" s="1" t="s">
        <v>15</v>
      </c>
      <c r="C10" s="1"/>
      <c r="D10" s="2"/>
      <c r="E10" s="2" t="s">
        <v>21</v>
      </c>
      <c r="F10" s="1" t="s">
        <v>10</v>
      </c>
      <c r="G10" s="2"/>
      <c r="H10" s="2"/>
    </row>
    <row r="11" spans="1:8" hidden="1" x14ac:dyDescent="0.25">
      <c r="A11" s="3">
        <v>93715</v>
      </c>
      <c r="B11" s="1" t="s">
        <v>15</v>
      </c>
      <c r="C11" s="1"/>
      <c r="D11" s="2"/>
      <c r="E11" s="2" t="s">
        <v>22</v>
      </c>
      <c r="F11" s="1" t="s">
        <v>10</v>
      </c>
      <c r="G11" s="2"/>
      <c r="H11" s="2"/>
    </row>
    <row r="12" spans="1:8" x14ac:dyDescent="0.25">
      <c r="A12" s="3">
        <v>90098</v>
      </c>
      <c r="B12" s="1" t="s">
        <v>12</v>
      </c>
      <c r="C12" s="1"/>
      <c r="D12" s="2" t="s">
        <v>23</v>
      </c>
      <c r="E12" s="2"/>
      <c r="F12" s="1" t="s">
        <v>10</v>
      </c>
      <c r="G12" s="2" t="s">
        <v>24</v>
      </c>
      <c r="H12" s="2">
        <v>120</v>
      </c>
    </row>
    <row r="13" spans="1:8" hidden="1" x14ac:dyDescent="0.25">
      <c r="A13" s="3">
        <v>90220</v>
      </c>
      <c r="B13" s="1" t="s">
        <v>15</v>
      </c>
      <c r="C13" s="1"/>
      <c r="D13" s="2"/>
      <c r="E13" s="2" t="s">
        <v>25</v>
      </c>
      <c r="F13" s="1" t="s">
        <v>10</v>
      </c>
      <c r="G13" s="2"/>
      <c r="H13" s="2"/>
    </row>
    <row r="14" spans="1:8" hidden="1" x14ac:dyDescent="0.25">
      <c r="A14" s="3">
        <v>92980</v>
      </c>
      <c r="B14" s="1" t="s">
        <v>15</v>
      </c>
      <c r="C14" s="1"/>
      <c r="D14" s="2"/>
      <c r="E14" s="2" t="s">
        <v>26</v>
      </c>
      <c r="F14" s="1" t="s">
        <v>10</v>
      </c>
      <c r="G14" s="2"/>
      <c r="H14" s="2"/>
    </row>
    <row r="15" spans="1:8" hidden="1" x14ac:dyDescent="0.25">
      <c r="A15" s="3">
        <v>92981</v>
      </c>
      <c r="B15" s="1" t="s">
        <v>15</v>
      </c>
      <c r="C15" s="1"/>
      <c r="D15" s="2"/>
      <c r="E15" s="2" t="s">
        <v>27</v>
      </c>
      <c r="F15" s="1" t="s">
        <v>10</v>
      </c>
      <c r="G15" s="2"/>
      <c r="H15" s="2"/>
    </row>
    <row r="16" spans="1:8" hidden="1" x14ac:dyDescent="0.25">
      <c r="A16" s="3">
        <v>97442</v>
      </c>
      <c r="B16" s="1" t="s">
        <v>15</v>
      </c>
      <c r="C16" s="1"/>
      <c r="D16" s="2"/>
      <c r="E16" s="2" t="s">
        <v>28</v>
      </c>
      <c r="F16" s="1" t="s">
        <v>10</v>
      </c>
      <c r="G16" s="2"/>
      <c r="H16" s="2"/>
    </row>
    <row r="17" spans="1:8" x14ac:dyDescent="0.25">
      <c r="A17" s="3">
        <v>90104</v>
      </c>
      <c r="B17" s="1" t="s">
        <v>12</v>
      </c>
      <c r="C17" s="1"/>
      <c r="D17" s="2" t="s">
        <v>29</v>
      </c>
      <c r="E17" s="2"/>
      <c r="F17" s="1" t="s">
        <v>10</v>
      </c>
      <c r="G17" s="2" t="s">
        <v>24</v>
      </c>
      <c r="H17" s="2">
        <v>120</v>
      </c>
    </row>
    <row r="18" spans="1:8" hidden="1" x14ac:dyDescent="0.25">
      <c r="A18" s="3">
        <v>90279</v>
      </c>
      <c r="B18" s="1" t="s">
        <v>15</v>
      </c>
      <c r="C18" s="1"/>
      <c r="D18" s="2"/>
      <c r="E18" s="2" t="s">
        <v>30</v>
      </c>
      <c r="F18" s="1" t="s">
        <v>10</v>
      </c>
      <c r="G18" s="2"/>
      <c r="H18" s="2"/>
    </row>
    <row r="19" spans="1:8" hidden="1" x14ac:dyDescent="0.25">
      <c r="A19" s="3">
        <v>92983</v>
      </c>
      <c r="B19" s="1" t="s">
        <v>15</v>
      </c>
      <c r="C19" s="1"/>
      <c r="D19" s="2"/>
      <c r="E19" s="2" t="s">
        <v>31</v>
      </c>
      <c r="F19" s="1" t="s">
        <v>10</v>
      </c>
      <c r="G19" s="2"/>
      <c r="H19" s="2"/>
    </row>
    <row r="20" spans="1:8" hidden="1" x14ac:dyDescent="0.25">
      <c r="A20" s="3">
        <v>92984</v>
      </c>
      <c r="B20" s="1" t="s">
        <v>15</v>
      </c>
      <c r="C20" s="1"/>
      <c r="D20" s="2"/>
      <c r="E20" s="2" t="s">
        <v>32</v>
      </c>
      <c r="F20" s="1" t="s">
        <v>10</v>
      </c>
      <c r="G20" s="2"/>
      <c r="H20" s="2"/>
    </row>
    <row r="21" spans="1:8" hidden="1" x14ac:dyDescent="0.25">
      <c r="A21" s="3">
        <v>93196</v>
      </c>
      <c r="B21" s="1" t="s">
        <v>15</v>
      </c>
      <c r="C21" s="1"/>
      <c r="D21" s="2"/>
      <c r="E21" s="2" t="s">
        <v>33</v>
      </c>
      <c r="F21" s="1" t="s">
        <v>10</v>
      </c>
      <c r="G21" s="2"/>
      <c r="H21" s="2"/>
    </row>
    <row r="22" spans="1:8" hidden="1" x14ac:dyDescent="0.25">
      <c r="A22" s="3">
        <v>92985</v>
      </c>
      <c r="B22" s="1" t="s">
        <v>15</v>
      </c>
      <c r="C22" s="1"/>
      <c r="D22" s="2"/>
      <c r="E22" s="2" t="s">
        <v>34</v>
      </c>
      <c r="F22" s="1" t="s">
        <v>10</v>
      </c>
      <c r="G22" s="2"/>
      <c r="H22" s="2"/>
    </row>
    <row r="23" spans="1:8" hidden="1" x14ac:dyDescent="0.25">
      <c r="A23" s="3">
        <v>93003</v>
      </c>
      <c r="B23" s="1" t="s">
        <v>15</v>
      </c>
      <c r="C23" s="1"/>
      <c r="D23" s="2"/>
      <c r="E23" s="2" t="s">
        <v>35</v>
      </c>
      <c r="F23" s="1" t="s">
        <v>10</v>
      </c>
      <c r="G23" s="2"/>
      <c r="H23" s="2"/>
    </row>
    <row r="24" spans="1:8" hidden="1" x14ac:dyDescent="0.25">
      <c r="A24" s="3">
        <v>97443</v>
      </c>
      <c r="B24" s="1" t="s">
        <v>15</v>
      </c>
      <c r="C24" s="1"/>
      <c r="D24" s="2"/>
      <c r="E24" s="2" t="s">
        <v>36</v>
      </c>
      <c r="F24" s="1" t="s">
        <v>10</v>
      </c>
      <c r="G24" s="2"/>
      <c r="H24" s="2"/>
    </row>
    <row r="25" spans="1:8" hidden="1" x14ac:dyDescent="0.25">
      <c r="A25" s="3">
        <v>97444</v>
      </c>
      <c r="B25" s="1" t="s">
        <v>15</v>
      </c>
      <c r="C25" s="1"/>
      <c r="D25" s="2"/>
      <c r="E25" s="2" t="s">
        <v>37</v>
      </c>
      <c r="F25" s="1" t="s">
        <v>10</v>
      </c>
      <c r="G25" s="2"/>
      <c r="H25" s="2"/>
    </row>
    <row r="26" spans="1:8" x14ac:dyDescent="0.25">
      <c r="A26" s="3">
        <v>90099</v>
      </c>
      <c r="B26" s="1" t="s">
        <v>12</v>
      </c>
      <c r="C26" s="1"/>
      <c r="D26" s="2" t="s">
        <v>38</v>
      </c>
      <c r="E26" s="2"/>
      <c r="F26" s="1" t="s">
        <v>10</v>
      </c>
      <c r="G26" s="2" t="s">
        <v>39</v>
      </c>
      <c r="H26" s="2">
        <v>120</v>
      </c>
    </row>
    <row r="27" spans="1:8" hidden="1" x14ac:dyDescent="0.25">
      <c r="A27" s="3">
        <v>90294</v>
      </c>
      <c r="B27" s="1" t="s">
        <v>15</v>
      </c>
      <c r="C27" s="1"/>
      <c r="D27" s="2"/>
      <c r="E27" s="2" t="s">
        <v>40</v>
      </c>
      <c r="F27" s="1" t="s">
        <v>10</v>
      </c>
      <c r="G27" s="2"/>
      <c r="H27" s="2"/>
    </row>
    <row r="28" spans="1:8" hidden="1" x14ac:dyDescent="0.25">
      <c r="A28" s="3">
        <v>93222</v>
      </c>
      <c r="B28" s="1" t="s">
        <v>15</v>
      </c>
      <c r="C28" s="1"/>
      <c r="D28" s="2"/>
      <c r="E28" s="2" t="s">
        <v>41</v>
      </c>
      <c r="F28" s="1" t="s">
        <v>10</v>
      </c>
      <c r="G28" s="2"/>
      <c r="H28" s="2"/>
    </row>
    <row r="29" spans="1:8" hidden="1" x14ac:dyDescent="0.25">
      <c r="A29" s="3">
        <v>93223</v>
      </c>
      <c r="B29" s="1" t="s">
        <v>15</v>
      </c>
      <c r="C29" s="1"/>
      <c r="D29" s="2"/>
      <c r="E29" s="2" t="s">
        <v>42</v>
      </c>
      <c r="F29" s="1" t="s">
        <v>10</v>
      </c>
      <c r="G29" s="2"/>
      <c r="H29" s="2"/>
    </row>
    <row r="30" spans="1:8" hidden="1" x14ac:dyDescent="0.25">
      <c r="A30" s="3">
        <v>93225</v>
      </c>
      <c r="B30" s="1" t="s">
        <v>15</v>
      </c>
      <c r="C30" s="1"/>
      <c r="D30" s="2"/>
      <c r="E30" s="2" t="s">
        <v>43</v>
      </c>
      <c r="F30" s="1" t="s">
        <v>10</v>
      </c>
      <c r="G30" s="2"/>
      <c r="H30" s="2"/>
    </row>
    <row r="31" spans="1:8" hidden="1" x14ac:dyDescent="0.25">
      <c r="A31" s="3">
        <v>92997</v>
      </c>
      <c r="B31" s="1" t="s">
        <v>15</v>
      </c>
      <c r="C31" s="1"/>
      <c r="D31" s="2"/>
      <c r="E31" s="2" t="s">
        <v>44</v>
      </c>
      <c r="F31" s="1" t="s">
        <v>10</v>
      </c>
      <c r="G31" s="2"/>
      <c r="H31" s="2"/>
    </row>
    <row r="32" spans="1:8" hidden="1" x14ac:dyDescent="0.25">
      <c r="A32" s="3">
        <v>92998</v>
      </c>
      <c r="B32" s="1" t="s">
        <v>15</v>
      </c>
      <c r="C32" s="1"/>
      <c r="D32" s="2"/>
      <c r="E32" s="2" t="s">
        <v>45</v>
      </c>
      <c r="F32" s="1" t="s">
        <v>10</v>
      </c>
      <c r="G32" s="2"/>
      <c r="H32" s="2"/>
    </row>
    <row r="33" spans="1:11" hidden="1" x14ac:dyDescent="0.25">
      <c r="A33" s="3">
        <v>92999</v>
      </c>
      <c r="B33" s="1" t="s">
        <v>15</v>
      </c>
      <c r="C33" s="1"/>
      <c r="D33" s="2"/>
      <c r="E33" s="2" t="s">
        <v>46</v>
      </c>
      <c r="F33" s="1" t="s">
        <v>10</v>
      </c>
      <c r="G33" s="2"/>
      <c r="H33" s="2"/>
    </row>
    <row r="34" spans="1:11" hidden="1" x14ac:dyDescent="0.25">
      <c r="A34" s="3">
        <v>90306</v>
      </c>
      <c r="B34" s="1" t="s">
        <v>15</v>
      </c>
      <c r="C34" s="1"/>
      <c r="D34" s="2"/>
      <c r="E34" s="2" t="s">
        <v>47</v>
      </c>
      <c r="F34" s="1" t="s">
        <v>10</v>
      </c>
      <c r="G34" s="2"/>
      <c r="H34" s="2"/>
    </row>
    <row r="35" spans="1:11" hidden="1" x14ac:dyDescent="0.25">
      <c r="A35" s="3">
        <v>93000</v>
      </c>
      <c r="B35" s="1" t="s">
        <v>15</v>
      </c>
      <c r="C35" s="1"/>
      <c r="D35" s="2"/>
      <c r="E35" s="2" t="s">
        <v>48</v>
      </c>
      <c r="F35" s="1" t="s">
        <v>10</v>
      </c>
      <c r="G35" s="2"/>
      <c r="H35" s="2"/>
    </row>
    <row r="36" spans="1:11" x14ac:dyDescent="0.25">
      <c r="A36" s="3">
        <v>90100</v>
      </c>
      <c r="B36" s="1" t="s">
        <v>12</v>
      </c>
      <c r="C36" s="1"/>
      <c r="D36" s="2" t="s">
        <v>49</v>
      </c>
      <c r="E36" s="2"/>
      <c r="F36" s="1" t="s">
        <v>10</v>
      </c>
      <c r="G36" s="2" t="s">
        <v>24</v>
      </c>
      <c r="H36" s="2">
        <v>120</v>
      </c>
      <c r="J36" s="19" t="s">
        <v>239</v>
      </c>
      <c r="K36" s="19" t="s">
        <v>235</v>
      </c>
    </row>
    <row r="37" spans="1:11" hidden="1" x14ac:dyDescent="0.25">
      <c r="A37" s="3">
        <v>90310</v>
      </c>
      <c r="B37" s="1" t="s">
        <v>15</v>
      </c>
      <c r="C37" s="1"/>
      <c r="D37" s="2"/>
      <c r="E37" s="2" t="s">
        <v>50</v>
      </c>
      <c r="F37" s="1" t="s">
        <v>10</v>
      </c>
      <c r="G37" s="2"/>
      <c r="H37" s="2"/>
    </row>
    <row r="38" spans="1:11" hidden="1" x14ac:dyDescent="0.25">
      <c r="A38" s="3">
        <v>90350</v>
      </c>
      <c r="B38" s="1" t="s">
        <v>15</v>
      </c>
      <c r="C38" s="1"/>
      <c r="D38" s="2"/>
      <c r="E38" s="2" t="s">
        <v>51</v>
      </c>
      <c r="F38" s="1" t="s">
        <v>10</v>
      </c>
      <c r="G38" s="2"/>
      <c r="H38" s="2"/>
    </row>
    <row r="39" spans="1:11" hidden="1" x14ac:dyDescent="0.25">
      <c r="A39" s="3">
        <v>90334</v>
      </c>
      <c r="B39" s="1" t="s">
        <v>15</v>
      </c>
      <c r="C39" s="1"/>
      <c r="D39" s="2"/>
      <c r="E39" s="2" t="s">
        <v>52</v>
      </c>
      <c r="F39" s="1" t="s">
        <v>10</v>
      </c>
      <c r="G39" s="2"/>
      <c r="H39" s="2"/>
    </row>
    <row r="40" spans="1:11" hidden="1" x14ac:dyDescent="0.25">
      <c r="A40" s="3">
        <v>93011</v>
      </c>
      <c r="B40" s="1" t="s">
        <v>15</v>
      </c>
      <c r="C40" s="1"/>
      <c r="D40" s="2"/>
      <c r="E40" s="2" t="s">
        <v>53</v>
      </c>
      <c r="F40" s="1" t="s">
        <v>10</v>
      </c>
      <c r="G40" s="2"/>
      <c r="H40" s="2"/>
    </row>
    <row r="41" spans="1:11" hidden="1" x14ac:dyDescent="0.25">
      <c r="A41" s="3">
        <v>93014</v>
      </c>
      <c r="B41" s="1" t="s">
        <v>15</v>
      </c>
      <c r="C41" s="1"/>
      <c r="D41" s="2"/>
      <c r="E41" s="2" t="s">
        <v>54</v>
      </c>
      <c r="F41" s="1" t="s">
        <v>10</v>
      </c>
      <c r="G41" s="2"/>
      <c r="H41" s="2"/>
    </row>
    <row r="42" spans="1:11" hidden="1" x14ac:dyDescent="0.25">
      <c r="A42" s="3">
        <v>90348</v>
      </c>
      <c r="B42" s="1" t="s">
        <v>15</v>
      </c>
      <c r="C42" s="1"/>
      <c r="D42" s="2"/>
      <c r="E42" s="2" t="s">
        <v>55</v>
      </c>
      <c r="F42" s="1" t="s">
        <v>10</v>
      </c>
      <c r="G42" s="2"/>
      <c r="H42" s="2"/>
    </row>
    <row r="43" spans="1:11" hidden="1" x14ac:dyDescent="0.25">
      <c r="A43" s="3">
        <v>97496</v>
      </c>
      <c r="B43" s="1" t="s">
        <v>15</v>
      </c>
      <c r="C43" s="1"/>
      <c r="D43" s="2"/>
      <c r="E43" s="2" t="s">
        <v>56</v>
      </c>
      <c r="F43" s="1" t="s">
        <v>10</v>
      </c>
      <c r="G43" s="2"/>
      <c r="H43" s="2"/>
    </row>
    <row r="44" spans="1:11" x14ac:dyDescent="0.25">
      <c r="A44" s="3">
        <v>90101</v>
      </c>
      <c r="B44" s="1" t="s">
        <v>12</v>
      </c>
      <c r="C44" s="1"/>
      <c r="D44" s="2" t="s">
        <v>57</v>
      </c>
      <c r="E44" s="2"/>
      <c r="F44" s="1" t="s">
        <v>10</v>
      </c>
      <c r="G44" s="2" t="s">
        <v>24</v>
      </c>
      <c r="H44" s="2">
        <v>120</v>
      </c>
      <c r="J44" s="11" t="s">
        <v>190</v>
      </c>
      <c r="K44" s="11">
        <v>40</v>
      </c>
    </row>
    <row r="45" spans="1:11" hidden="1" x14ac:dyDescent="0.25">
      <c r="A45" s="3">
        <v>90308</v>
      </c>
      <c r="B45" s="1" t="s">
        <v>15</v>
      </c>
      <c r="C45" s="1"/>
      <c r="D45" s="2"/>
      <c r="E45" s="2" t="s">
        <v>58</v>
      </c>
      <c r="F45" s="1" t="s">
        <v>10</v>
      </c>
      <c r="G45" s="2"/>
      <c r="H45" s="2"/>
      <c r="J45" s="11"/>
      <c r="K45" s="11">
        <v>60</v>
      </c>
    </row>
    <row r="46" spans="1:11" hidden="1" x14ac:dyDescent="0.25">
      <c r="A46" s="3">
        <v>93429</v>
      </c>
      <c r="B46" s="1" t="s">
        <v>15</v>
      </c>
      <c r="C46" s="1"/>
      <c r="D46" s="2"/>
      <c r="E46" s="2" t="s">
        <v>59</v>
      </c>
      <c r="F46" s="1" t="s">
        <v>10</v>
      </c>
      <c r="G46" s="2"/>
      <c r="H46" s="2"/>
      <c r="J46" s="11"/>
      <c r="K46" s="11">
        <v>80</v>
      </c>
    </row>
    <row r="47" spans="1:11" hidden="1" x14ac:dyDescent="0.25">
      <c r="A47" s="3">
        <v>93017</v>
      </c>
      <c r="B47" s="1" t="s">
        <v>15</v>
      </c>
      <c r="C47" s="1"/>
      <c r="D47" s="2"/>
      <c r="E47" s="2" t="s">
        <v>60</v>
      </c>
      <c r="F47" s="1" t="s">
        <v>10</v>
      </c>
      <c r="G47" s="2"/>
      <c r="H47" s="2"/>
      <c r="J47" s="11"/>
      <c r="K47" s="11">
        <v>120</v>
      </c>
    </row>
    <row r="48" spans="1:11" hidden="1" x14ac:dyDescent="0.25">
      <c r="A48" s="3">
        <v>93018</v>
      </c>
      <c r="B48" s="1" t="s">
        <v>15</v>
      </c>
      <c r="C48" s="1"/>
      <c r="D48" s="2"/>
      <c r="E48" s="2" t="s">
        <v>61</v>
      </c>
      <c r="F48" s="1" t="s">
        <v>10</v>
      </c>
      <c r="G48" s="2"/>
      <c r="H48" s="2"/>
      <c r="J48" s="11"/>
      <c r="K48" s="11">
        <v>160</v>
      </c>
    </row>
    <row r="49" spans="1:11" hidden="1" x14ac:dyDescent="0.25">
      <c r="A49" s="3">
        <v>97502</v>
      </c>
      <c r="B49" s="1" t="s">
        <v>15</v>
      </c>
      <c r="C49" s="1"/>
      <c r="D49" s="2"/>
      <c r="E49" s="2" t="s">
        <v>62</v>
      </c>
      <c r="F49" s="1" t="s">
        <v>10</v>
      </c>
      <c r="G49" s="2"/>
      <c r="H49" s="2"/>
      <c r="J49" s="11"/>
      <c r="K49" s="11">
        <v>200</v>
      </c>
    </row>
    <row r="50" spans="1:11" hidden="1" x14ac:dyDescent="0.25">
      <c r="A50" s="3">
        <v>93020</v>
      </c>
      <c r="B50" s="1" t="s">
        <v>15</v>
      </c>
      <c r="C50" s="1"/>
      <c r="D50" s="2"/>
      <c r="E50" s="2" t="s">
        <v>63</v>
      </c>
      <c r="F50" s="1" t="s">
        <v>10</v>
      </c>
      <c r="G50" s="2"/>
      <c r="H50" s="2"/>
      <c r="J50" s="11"/>
      <c r="K50" s="11"/>
    </row>
    <row r="51" spans="1:11" hidden="1" x14ac:dyDescent="0.25">
      <c r="A51" s="3">
        <v>93019</v>
      </c>
      <c r="B51" s="1" t="s">
        <v>15</v>
      </c>
      <c r="C51" s="1"/>
      <c r="D51" s="2"/>
      <c r="E51" s="2" t="s">
        <v>64</v>
      </c>
      <c r="F51" s="1" t="s">
        <v>10</v>
      </c>
      <c r="G51" s="2"/>
      <c r="H51" s="2"/>
      <c r="J51" s="11"/>
      <c r="K51" s="11"/>
    </row>
    <row r="52" spans="1:11" hidden="1" x14ac:dyDescent="0.25">
      <c r="A52" s="3">
        <v>90343</v>
      </c>
      <c r="B52" s="1" t="s">
        <v>15</v>
      </c>
      <c r="C52" s="1"/>
      <c r="D52" s="2"/>
      <c r="E52" s="2" t="s">
        <v>65</v>
      </c>
      <c r="F52" s="1" t="s">
        <v>10</v>
      </c>
      <c r="G52" s="2"/>
      <c r="H52" s="2"/>
      <c r="J52" s="11"/>
      <c r="K52" s="11"/>
    </row>
    <row r="53" spans="1:11" hidden="1" x14ac:dyDescent="0.25">
      <c r="A53" s="3">
        <v>93081</v>
      </c>
      <c r="B53" s="1" t="s">
        <v>15</v>
      </c>
      <c r="C53" s="1"/>
      <c r="D53" s="2"/>
      <c r="E53" s="2" t="s">
        <v>66</v>
      </c>
      <c r="F53" s="1" t="s">
        <v>10</v>
      </c>
      <c r="G53" s="2"/>
      <c r="H53" s="2"/>
      <c r="J53" s="11"/>
      <c r="K53" s="11"/>
    </row>
    <row r="54" spans="1:11" hidden="1" x14ac:dyDescent="0.25">
      <c r="A54" s="3">
        <v>93716</v>
      </c>
      <c r="B54" s="1" t="s">
        <v>15</v>
      </c>
      <c r="C54" s="1"/>
      <c r="D54" s="2"/>
      <c r="E54" s="2" t="s">
        <v>67</v>
      </c>
      <c r="F54" s="1" t="s">
        <v>10</v>
      </c>
      <c r="G54" s="2"/>
      <c r="H54" s="2"/>
      <c r="J54" s="11"/>
      <c r="K54" s="11"/>
    </row>
    <row r="55" spans="1:11" hidden="1" x14ac:dyDescent="0.25">
      <c r="A55" s="3">
        <v>93718</v>
      </c>
      <c r="B55" s="1" t="s">
        <v>15</v>
      </c>
      <c r="C55" s="1"/>
      <c r="D55" s="2"/>
      <c r="E55" s="2" t="s">
        <v>68</v>
      </c>
      <c r="F55" s="1" t="s">
        <v>10</v>
      </c>
      <c r="G55" s="2"/>
      <c r="H55" s="2"/>
      <c r="J55" s="11"/>
      <c r="K55" s="11"/>
    </row>
    <row r="56" spans="1:11" hidden="1" x14ac:dyDescent="0.25">
      <c r="A56" s="3">
        <v>93719</v>
      </c>
      <c r="B56" s="1" t="s">
        <v>15</v>
      </c>
      <c r="C56" s="1"/>
      <c r="D56" s="2"/>
      <c r="E56" s="2" t="s">
        <v>69</v>
      </c>
      <c r="F56" s="1" t="s">
        <v>10</v>
      </c>
      <c r="G56" s="2"/>
      <c r="H56" s="2"/>
      <c r="J56" s="11"/>
      <c r="K56" s="11"/>
    </row>
    <row r="57" spans="1:11" hidden="1" x14ac:dyDescent="0.25">
      <c r="A57" s="3">
        <v>97503</v>
      </c>
      <c r="B57" s="1" t="s">
        <v>15</v>
      </c>
      <c r="C57" s="1"/>
      <c r="D57" s="2"/>
      <c r="E57" s="2" t="s">
        <v>70</v>
      </c>
      <c r="F57" s="1" t="s">
        <v>10</v>
      </c>
      <c r="G57" s="2"/>
      <c r="H57" s="2"/>
      <c r="J57" s="11"/>
      <c r="K57" s="11"/>
    </row>
    <row r="58" spans="1:11" hidden="1" x14ac:dyDescent="0.25">
      <c r="A58" s="3">
        <v>97531</v>
      </c>
      <c r="B58" s="1" t="s">
        <v>15</v>
      </c>
      <c r="C58" s="1"/>
      <c r="D58" s="2"/>
      <c r="E58" s="2" t="s">
        <v>71</v>
      </c>
      <c r="F58" s="1" t="s">
        <v>10</v>
      </c>
      <c r="G58" s="2"/>
      <c r="H58" s="2"/>
      <c r="J58" s="11"/>
      <c r="K58" s="11"/>
    </row>
    <row r="59" spans="1:11" x14ac:dyDescent="0.25">
      <c r="A59" s="3">
        <v>90103</v>
      </c>
      <c r="B59" s="1" t="s">
        <v>12</v>
      </c>
      <c r="C59" s="1"/>
      <c r="D59" s="2" t="s">
        <v>72</v>
      </c>
      <c r="E59" s="2"/>
      <c r="F59" s="1" t="s">
        <v>10</v>
      </c>
      <c r="G59" s="2" t="s">
        <v>73</v>
      </c>
      <c r="H59" s="2">
        <v>120</v>
      </c>
      <c r="J59" s="11" t="s">
        <v>139</v>
      </c>
      <c r="K59" s="11">
        <v>60</v>
      </c>
    </row>
    <row r="60" spans="1:11" hidden="1" x14ac:dyDescent="0.25">
      <c r="A60" s="3">
        <v>90352</v>
      </c>
      <c r="B60" s="1" t="s">
        <v>15</v>
      </c>
      <c r="C60" s="1"/>
      <c r="D60" s="2"/>
      <c r="E60" s="2" t="s">
        <v>74</v>
      </c>
      <c r="F60" s="1" t="s">
        <v>10</v>
      </c>
      <c r="G60" s="2"/>
      <c r="H60" s="2"/>
      <c r="J60" s="11"/>
      <c r="K60" s="11"/>
    </row>
    <row r="61" spans="1:11" hidden="1" x14ac:dyDescent="0.25">
      <c r="A61" s="3">
        <v>90353</v>
      </c>
      <c r="B61" s="1" t="s">
        <v>15</v>
      </c>
      <c r="C61" s="1"/>
      <c r="D61" s="2"/>
      <c r="E61" s="2" t="s">
        <v>75</v>
      </c>
      <c r="F61" s="1" t="s">
        <v>10</v>
      </c>
      <c r="G61" s="2"/>
      <c r="H61" s="2"/>
      <c r="J61" s="11"/>
      <c r="K61" s="11"/>
    </row>
    <row r="62" spans="1:11" hidden="1" x14ac:dyDescent="0.25">
      <c r="A62" s="3">
        <v>90357</v>
      </c>
      <c r="B62" s="1" t="s">
        <v>15</v>
      </c>
      <c r="C62" s="1"/>
      <c r="D62" s="2"/>
      <c r="E62" s="2" t="s">
        <v>76</v>
      </c>
      <c r="F62" s="1" t="s">
        <v>10</v>
      </c>
      <c r="G62" s="2"/>
      <c r="H62" s="2"/>
      <c r="J62" s="11"/>
      <c r="K62" s="11"/>
    </row>
    <row r="63" spans="1:11" hidden="1" x14ac:dyDescent="0.25">
      <c r="A63" s="3">
        <v>90354</v>
      </c>
      <c r="B63" s="1" t="s">
        <v>15</v>
      </c>
      <c r="C63" s="1"/>
      <c r="D63" s="2"/>
      <c r="E63" s="2" t="s">
        <v>77</v>
      </c>
      <c r="F63" s="1" t="s">
        <v>10</v>
      </c>
      <c r="G63" s="2"/>
      <c r="H63" s="2"/>
      <c r="J63" s="11"/>
      <c r="K63" s="11"/>
    </row>
    <row r="64" spans="1:11" hidden="1" x14ac:dyDescent="0.25">
      <c r="A64" s="3">
        <v>90355</v>
      </c>
      <c r="B64" s="1" t="s">
        <v>15</v>
      </c>
      <c r="C64" s="1"/>
      <c r="D64" s="2"/>
      <c r="E64" s="2" t="s">
        <v>78</v>
      </c>
      <c r="F64" s="1" t="s">
        <v>10</v>
      </c>
      <c r="G64" s="2"/>
      <c r="H64" s="2"/>
      <c r="J64" s="11"/>
      <c r="K64" s="11"/>
    </row>
    <row r="65" spans="1:11" hidden="1" x14ac:dyDescent="0.25">
      <c r="A65" s="3">
        <v>93087</v>
      </c>
      <c r="B65" s="1" t="s">
        <v>15</v>
      </c>
      <c r="C65" s="1"/>
      <c r="D65" s="2"/>
      <c r="E65" s="2" t="s">
        <v>79</v>
      </c>
      <c r="F65" s="1" t="s">
        <v>10</v>
      </c>
      <c r="G65" s="2"/>
      <c r="H65" s="2"/>
      <c r="J65" s="11"/>
      <c r="K65" s="11"/>
    </row>
    <row r="66" spans="1:11" hidden="1" x14ac:dyDescent="0.25">
      <c r="A66" s="3">
        <v>93601</v>
      </c>
      <c r="B66" s="1" t="s">
        <v>15</v>
      </c>
      <c r="C66" s="1"/>
      <c r="D66" s="2"/>
      <c r="E66" s="2" t="s">
        <v>80</v>
      </c>
      <c r="F66" s="1" t="s">
        <v>10</v>
      </c>
      <c r="G66" s="2"/>
      <c r="H66" s="2"/>
      <c r="J66" s="11"/>
      <c r="K66" s="11"/>
    </row>
    <row r="67" spans="1:11" hidden="1" x14ac:dyDescent="0.25">
      <c r="A67" s="3">
        <v>90077</v>
      </c>
      <c r="B67" s="1" t="s">
        <v>8</v>
      </c>
      <c r="C67" s="1" t="s">
        <v>81</v>
      </c>
      <c r="D67" s="2"/>
      <c r="E67" s="2"/>
      <c r="F67" s="1" t="s">
        <v>10</v>
      </c>
      <c r="G67" s="2" t="s">
        <v>11</v>
      </c>
      <c r="H67" s="2"/>
      <c r="J67" s="11"/>
      <c r="K67" s="11"/>
    </row>
    <row r="68" spans="1:11" x14ac:dyDescent="0.25">
      <c r="A68" s="3">
        <v>90162</v>
      </c>
      <c r="B68" s="1" t="s">
        <v>12</v>
      </c>
      <c r="C68" s="1"/>
      <c r="D68" s="2" t="s">
        <v>82</v>
      </c>
      <c r="E68" s="2"/>
      <c r="F68" s="1" t="s">
        <v>10</v>
      </c>
      <c r="G68" s="2" t="s">
        <v>14</v>
      </c>
      <c r="H68" s="2">
        <v>160</v>
      </c>
      <c r="J68" s="11" t="s">
        <v>103</v>
      </c>
      <c r="K68" s="11">
        <v>80</v>
      </c>
    </row>
    <row r="69" spans="1:11" hidden="1" x14ac:dyDescent="0.25">
      <c r="A69" s="3">
        <v>97632</v>
      </c>
      <c r="B69" s="1" t="s">
        <v>15</v>
      </c>
      <c r="C69" s="1"/>
      <c r="D69" s="2"/>
      <c r="E69" s="2" t="s">
        <v>83</v>
      </c>
      <c r="F69" s="1" t="s">
        <v>10</v>
      </c>
      <c r="G69" s="2"/>
      <c r="H69" s="2"/>
      <c r="J69" s="11"/>
      <c r="K69" s="11"/>
    </row>
    <row r="70" spans="1:11" hidden="1" x14ac:dyDescent="0.25">
      <c r="A70" s="3">
        <v>90362</v>
      </c>
      <c r="B70" s="1" t="s">
        <v>15</v>
      </c>
      <c r="C70" s="1"/>
      <c r="D70" s="2"/>
      <c r="E70" s="2" t="s">
        <v>84</v>
      </c>
      <c r="F70" s="1" t="s">
        <v>10</v>
      </c>
      <c r="G70" s="2"/>
      <c r="H70" s="2"/>
      <c r="J70" s="11"/>
      <c r="K70" s="11"/>
    </row>
    <row r="71" spans="1:11" hidden="1" x14ac:dyDescent="0.25">
      <c r="A71" s="3">
        <v>92990</v>
      </c>
      <c r="B71" s="1" t="s">
        <v>15</v>
      </c>
      <c r="C71" s="1"/>
      <c r="D71" s="2"/>
      <c r="E71" s="2" t="s">
        <v>85</v>
      </c>
      <c r="F71" s="1" t="s">
        <v>10</v>
      </c>
      <c r="G71" s="2"/>
      <c r="H71" s="2"/>
      <c r="J71" s="11"/>
      <c r="K71" s="11"/>
    </row>
    <row r="72" spans="1:11" hidden="1" x14ac:dyDescent="0.25">
      <c r="A72" s="3">
        <v>90221</v>
      </c>
      <c r="B72" s="1" t="s">
        <v>15</v>
      </c>
      <c r="C72" s="1"/>
      <c r="D72" s="2"/>
      <c r="E72" s="2" t="s">
        <v>86</v>
      </c>
      <c r="F72" s="1" t="s">
        <v>10</v>
      </c>
      <c r="G72" s="2"/>
      <c r="H72" s="2"/>
      <c r="J72" s="11"/>
      <c r="K72" s="11"/>
    </row>
    <row r="73" spans="1:11" hidden="1" x14ac:dyDescent="0.25">
      <c r="A73" s="3">
        <v>93082</v>
      </c>
      <c r="B73" s="1" t="s">
        <v>15</v>
      </c>
      <c r="C73" s="1"/>
      <c r="D73" s="2"/>
      <c r="E73" s="2" t="s">
        <v>87</v>
      </c>
      <c r="F73" s="1" t="s">
        <v>10</v>
      </c>
      <c r="G73" s="2"/>
      <c r="H73" s="2"/>
      <c r="J73" s="11"/>
      <c r="K73" s="11"/>
    </row>
    <row r="74" spans="1:11" hidden="1" x14ac:dyDescent="0.25">
      <c r="A74" s="3">
        <v>90283</v>
      </c>
      <c r="B74" s="1" t="s">
        <v>15</v>
      </c>
      <c r="C74" s="1"/>
      <c r="D74" s="2"/>
      <c r="E74" s="2" t="s">
        <v>88</v>
      </c>
      <c r="F74" s="1" t="s">
        <v>10</v>
      </c>
      <c r="G74" s="2"/>
      <c r="H74" s="2"/>
      <c r="J74" s="11"/>
      <c r="K74" s="11"/>
    </row>
    <row r="75" spans="1:11" hidden="1" x14ac:dyDescent="0.25">
      <c r="A75" s="3">
        <v>93091</v>
      </c>
      <c r="B75" s="1" t="s">
        <v>15</v>
      </c>
      <c r="C75" s="1"/>
      <c r="D75" s="2"/>
      <c r="E75" s="2" t="s">
        <v>89</v>
      </c>
      <c r="F75" s="1" t="s">
        <v>10</v>
      </c>
      <c r="G75" s="2"/>
      <c r="H75" s="2"/>
      <c r="J75" s="11"/>
      <c r="K75" s="11"/>
    </row>
    <row r="76" spans="1:11" hidden="1" x14ac:dyDescent="0.25">
      <c r="A76" s="3">
        <v>90300</v>
      </c>
      <c r="B76" s="1" t="s">
        <v>15</v>
      </c>
      <c r="C76" s="1"/>
      <c r="D76" s="2"/>
      <c r="E76" s="2" t="s">
        <v>90</v>
      </c>
      <c r="F76" s="1" t="s">
        <v>10</v>
      </c>
      <c r="G76" s="2"/>
      <c r="H76" s="2"/>
      <c r="J76" s="11"/>
      <c r="K76" s="11"/>
    </row>
    <row r="77" spans="1:11" hidden="1" x14ac:dyDescent="0.25">
      <c r="A77" s="3">
        <v>90301</v>
      </c>
      <c r="B77" s="1" t="s">
        <v>15</v>
      </c>
      <c r="C77" s="1"/>
      <c r="D77" s="2"/>
      <c r="E77" s="2" t="s">
        <v>91</v>
      </c>
      <c r="F77" s="1" t="s">
        <v>10</v>
      </c>
      <c r="G77" s="2"/>
      <c r="H77" s="2"/>
      <c r="J77" s="11"/>
      <c r="K77" s="11"/>
    </row>
    <row r="78" spans="1:11" hidden="1" x14ac:dyDescent="0.25">
      <c r="A78" s="3">
        <v>90299</v>
      </c>
      <c r="B78" s="1" t="s">
        <v>15</v>
      </c>
      <c r="C78" s="1"/>
      <c r="D78" s="2"/>
      <c r="E78" s="2" t="s">
        <v>92</v>
      </c>
      <c r="F78" s="1" t="s">
        <v>10</v>
      </c>
      <c r="G78" s="2" t="s">
        <v>93</v>
      </c>
      <c r="H78" s="2"/>
      <c r="J78" s="11"/>
      <c r="K78" s="11"/>
    </row>
    <row r="79" spans="1:11" hidden="1" x14ac:dyDescent="0.25">
      <c r="A79" s="3">
        <v>90297</v>
      </c>
      <c r="B79" s="1" t="s">
        <v>15</v>
      </c>
      <c r="C79" s="1"/>
      <c r="D79" s="2"/>
      <c r="E79" s="2" t="s">
        <v>94</v>
      </c>
      <c r="F79" s="1" t="s">
        <v>10</v>
      </c>
      <c r="G79" s="2" t="s">
        <v>93</v>
      </c>
      <c r="H79" s="2"/>
      <c r="J79" s="11"/>
      <c r="K79" s="11"/>
    </row>
    <row r="80" spans="1:11" hidden="1" x14ac:dyDescent="0.25">
      <c r="A80" s="3">
        <v>90341</v>
      </c>
      <c r="B80" s="1" t="s">
        <v>15</v>
      </c>
      <c r="C80" s="1"/>
      <c r="D80" s="2"/>
      <c r="E80" s="2" t="s">
        <v>95</v>
      </c>
      <c r="F80" s="1" t="s">
        <v>10</v>
      </c>
      <c r="G80" s="2"/>
      <c r="H80" s="2"/>
      <c r="J80" s="11"/>
      <c r="K80" s="11"/>
    </row>
    <row r="81" spans="1:11" hidden="1" x14ac:dyDescent="0.25">
      <c r="A81" s="3">
        <v>90338</v>
      </c>
      <c r="B81" s="1" t="s">
        <v>15</v>
      </c>
      <c r="C81" s="1"/>
      <c r="D81" s="2"/>
      <c r="E81" s="2" t="s">
        <v>96</v>
      </c>
      <c r="F81" s="1" t="s">
        <v>10</v>
      </c>
      <c r="G81" s="2" t="s">
        <v>93</v>
      </c>
      <c r="H81" s="2"/>
      <c r="J81" s="11"/>
      <c r="K81" s="11"/>
    </row>
    <row r="82" spans="1:11" hidden="1" x14ac:dyDescent="0.25">
      <c r="A82" s="3">
        <v>90339</v>
      </c>
      <c r="B82" s="1" t="s">
        <v>15</v>
      </c>
      <c r="C82" s="1"/>
      <c r="D82" s="2"/>
      <c r="E82" s="2" t="s">
        <v>97</v>
      </c>
      <c r="F82" s="1" t="s">
        <v>10</v>
      </c>
      <c r="G82" s="2" t="s">
        <v>93</v>
      </c>
      <c r="H82" s="2"/>
      <c r="J82" s="11"/>
      <c r="K82" s="11"/>
    </row>
    <row r="83" spans="1:11" hidden="1" x14ac:dyDescent="0.25">
      <c r="A83" s="3">
        <v>93118</v>
      </c>
      <c r="B83" s="1" t="s">
        <v>15</v>
      </c>
      <c r="C83" s="1"/>
      <c r="D83" s="2"/>
      <c r="E83" s="2" t="s">
        <v>98</v>
      </c>
      <c r="F83" s="1" t="s">
        <v>10</v>
      </c>
      <c r="G83" s="2" t="s">
        <v>93</v>
      </c>
      <c r="H83" s="2"/>
      <c r="J83" s="11"/>
      <c r="K83" s="11"/>
    </row>
    <row r="84" spans="1:11" hidden="1" x14ac:dyDescent="0.25">
      <c r="A84" s="3">
        <v>93307</v>
      </c>
      <c r="B84" s="1" t="s">
        <v>15</v>
      </c>
      <c r="C84" s="1"/>
      <c r="D84" s="2"/>
      <c r="E84" s="2" t="s">
        <v>99</v>
      </c>
      <c r="F84" s="1" t="s">
        <v>10</v>
      </c>
      <c r="G84" s="2"/>
      <c r="H84" s="2"/>
      <c r="J84" s="11"/>
      <c r="K84" s="11"/>
    </row>
    <row r="85" spans="1:11" hidden="1" x14ac:dyDescent="0.25">
      <c r="A85" s="3">
        <v>93308</v>
      </c>
      <c r="B85" s="1" t="s">
        <v>15</v>
      </c>
      <c r="C85" s="1"/>
      <c r="D85" s="2"/>
      <c r="E85" s="2" t="s">
        <v>100</v>
      </c>
      <c r="F85" s="1" t="s">
        <v>10</v>
      </c>
      <c r="G85" s="2"/>
      <c r="H85" s="2"/>
      <c r="J85" s="11"/>
      <c r="K85" s="11"/>
    </row>
    <row r="86" spans="1:11" hidden="1" x14ac:dyDescent="0.25">
      <c r="A86" s="3">
        <v>90346</v>
      </c>
      <c r="B86" s="1" t="s">
        <v>15</v>
      </c>
      <c r="C86" s="1"/>
      <c r="D86" s="2"/>
      <c r="E86" s="2" t="s">
        <v>101</v>
      </c>
      <c r="F86" s="1" t="s">
        <v>10</v>
      </c>
      <c r="G86" s="2"/>
      <c r="H86" s="2"/>
      <c r="J86" s="11"/>
      <c r="K86" s="11"/>
    </row>
    <row r="87" spans="1:11" x14ac:dyDescent="0.25">
      <c r="A87" s="3">
        <v>90163</v>
      </c>
      <c r="B87" s="1" t="s">
        <v>12</v>
      </c>
      <c r="C87" s="1"/>
      <c r="D87" s="2" t="s">
        <v>102</v>
      </c>
      <c r="E87" s="2"/>
      <c r="F87" s="1" t="s">
        <v>10</v>
      </c>
      <c r="G87" s="2" t="s">
        <v>103</v>
      </c>
      <c r="H87" s="2">
        <v>80</v>
      </c>
      <c r="J87" s="11" t="s">
        <v>73</v>
      </c>
      <c r="K87" s="11">
        <v>120</v>
      </c>
    </row>
    <row r="88" spans="1:11" hidden="1" x14ac:dyDescent="0.25">
      <c r="A88" s="3">
        <v>90364</v>
      </c>
      <c r="B88" s="1" t="s">
        <v>15</v>
      </c>
      <c r="C88" s="1"/>
      <c r="D88" s="2"/>
      <c r="E88" s="2" t="s">
        <v>104</v>
      </c>
      <c r="F88" s="1" t="s">
        <v>10</v>
      </c>
      <c r="G88" s="2"/>
      <c r="H88" s="2"/>
      <c r="J88" s="11"/>
      <c r="K88" s="11"/>
    </row>
    <row r="89" spans="1:11" hidden="1" x14ac:dyDescent="0.25">
      <c r="A89" s="3">
        <v>90382</v>
      </c>
      <c r="B89" s="1" t="s">
        <v>15</v>
      </c>
      <c r="C89" s="1"/>
      <c r="D89" s="2"/>
      <c r="E89" s="2" t="s">
        <v>105</v>
      </c>
      <c r="F89" s="1" t="s">
        <v>10</v>
      </c>
      <c r="G89" s="2"/>
      <c r="H89" s="2"/>
      <c r="J89" s="11"/>
      <c r="K89" s="11"/>
    </row>
    <row r="90" spans="1:11" hidden="1" x14ac:dyDescent="0.25">
      <c r="A90" s="3">
        <v>96843</v>
      </c>
      <c r="B90" s="1" t="s">
        <v>15</v>
      </c>
      <c r="C90" s="1"/>
      <c r="D90" s="2"/>
      <c r="E90" s="2" t="s">
        <v>106</v>
      </c>
      <c r="F90" s="1" t="s">
        <v>10</v>
      </c>
      <c r="G90" s="2"/>
      <c r="H90" s="2"/>
      <c r="J90" s="11"/>
      <c r="K90" s="11"/>
    </row>
    <row r="91" spans="1:11" x14ac:dyDescent="0.25">
      <c r="A91" s="3">
        <v>90167</v>
      </c>
      <c r="B91" s="1" t="s">
        <v>12</v>
      </c>
      <c r="C91" s="1"/>
      <c r="D91" s="2" t="s">
        <v>107</v>
      </c>
      <c r="E91" s="2"/>
      <c r="F91" s="1" t="s">
        <v>10</v>
      </c>
      <c r="G91" s="2" t="s">
        <v>103</v>
      </c>
      <c r="H91" s="2">
        <v>80</v>
      </c>
      <c r="J91" s="11" t="s">
        <v>14</v>
      </c>
      <c r="K91" s="11">
        <v>160</v>
      </c>
    </row>
    <row r="92" spans="1:11" hidden="1" x14ac:dyDescent="0.25">
      <c r="A92" s="3">
        <v>90370</v>
      </c>
      <c r="B92" s="1" t="s">
        <v>15</v>
      </c>
      <c r="C92" s="1"/>
      <c r="D92" s="2"/>
      <c r="E92" s="2" t="s">
        <v>108</v>
      </c>
      <c r="F92" s="1" t="s">
        <v>10</v>
      </c>
      <c r="G92" s="2"/>
      <c r="H92" s="2"/>
      <c r="J92" s="11"/>
      <c r="K92" s="11"/>
    </row>
    <row r="93" spans="1:11" hidden="1" x14ac:dyDescent="0.25">
      <c r="A93" s="3">
        <v>90371</v>
      </c>
      <c r="B93" s="1" t="s">
        <v>15</v>
      </c>
      <c r="C93" s="1"/>
      <c r="D93" s="2"/>
      <c r="E93" s="2" t="s">
        <v>109</v>
      </c>
      <c r="F93" s="1" t="s">
        <v>10</v>
      </c>
      <c r="G93" s="2"/>
      <c r="H93" s="2"/>
      <c r="J93" s="11"/>
      <c r="K93" s="11"/>
    </row>
    <row r="94" spans="1:11" hidden="1" x14ac:dyDescent="0.25">
      <c r="A94" s="3">
        <v>90372</v>
      </c>
      <c r="B94" s="1" t="s">
        <v>15</v>
      </c>
      <c r="C94" s="1"/>
      <c r="D94" s="2"/>
      <c r="E94" s="2" t="s">
        <v>110</v>
      </c>
      <c r="F94" s="1" t="s">
        <v>10</v>
      </c>
      <c r="G94" s="2"/>
      <c r="H94" s="2"/>
      <c r="J94" s="11"/>
      <c r="K94" s="11">
        <v>160</v>
      </c>
    </row>
    <row r="95" spans="1:11" hidden="1" x14ac:dyDescent="0.25">
      <c r="A95" s="3">
        <v>90374</v>
      </c>
      <c r="B95" s="1" t="s">
        <v>15</v>
      </c>
      <c r="C95" s="1"/>
      <c r="D95" s="2"/>
      <c r="E95" s="2" t="s">
        <v>111</v>
      </c>
      <c r="F95" s="1" t="s">
        <v>10</v>
      </c>
      <c r="G95" s="2"/>
      <c r="H95" s="2"/>
      <c r="J95" s="11"/>
      <c r="K95" s="11"/>
    </row>
    <row r="96" spans="1:11" hidden="1" x14ac:dyDescent="0.25">
      <c r="A96" s="3">
        <v>90375</v>
      </c>
      <c r="B96" s="1" t="s">
        <v>15</v>
      </c>
      <c r="C96" s="1"/>
      <c r="D96" s="2"/>
      <c r="E96" s="2" t="s">
        <v>112</v>
      </c>
      <c r="F96" s="1" t="s">
        <v>10</v>
      </c>
      <c r="G96" s="2"/>
      <c r="H96" s="2"/>
      <c r="J96" s="11"/>
      <c r="K96" s="11"/>
    </row>
    <row r="97" spans="1:11" hidden="1" x14ac:dyDescent="0.25">
      <c r="A97" s="3">
        <v>90376</v>
      </c>
      <c r="B97" s="1" t="s">
        <v>15</v>
      </c>
      <c r="C97" s="1"/>
      <c r="D97" s="2"/>
      <c r="E97" s="2" t="s">
        <v>113</v>
      </c>
      <c r="F97" s="1" t="s">
        <v>10</v>
      </c>
      <c r="G97" s="2"/>
      <c r="H97" s="2"/>
      <c r="J97" s="11"/>
      <c r="K97" s="11"/>
    </row>
    <row r="98" spans="1:11" x14ac:dyDescent="0.25">
      <c r="A98" s="3">
        <v>90106</v>
      </c>
      <c r="B98" s="1" t="s">
        <v>12</v>
      </c>
      <c r="C98" s="1"/>
      <c r="D98" s="2" t="s">
        <v>114</v>
      </c>
      <c r="E98" s="2"/>
      <c r="F98" s="1" t="s">
        <v>10</v>
      </c>
      <c r="G98" s="2" t="s">
        <v>115</v>
      </c>
      <c r="H98" s="2">
        <v>160</v>
      </c>
      <c r="J98" s="11" t="s">
        <v>214</v>
      </c>
      <c r="K98" s="11">
        <v>200</v>
      </c>
    </row>
    <row r="99" spans="1:11" hidden="1" x14ac:dyDescent="0.25">
      <c r="A99" s="3">
        <v>93086</v>
      </c>
      <c r="B99" s="1" t="s">
        <v>15</v>
      </c>
      <c r="C99" s="1"/>
      <c r="D99" s="2"/>
      <c r="E99" s="2" t="s">
        <v>116</v>
      </c>
      <c r="F99" s="1" t="s">
        <v>10</v>
      </c>
      <c r="G99" s="2"/>
      <c r="H99" s="2"/>
    </row>
    <row r="100" spans="1:11" hidden="1" x14ac:dyDescent="0.25">
      <c r="A100" s="3">
        <v>90379</v>
      </c>
      <c r="B100" s="1" t="s">
        <v>15</v>
      </c>
      <c r="C100" s="1"/>
      <c r="D100" s="2"/>
      <c r="E100" s="2" t="s">
        <v>117</v>
      </c>
      <c r="F100" s="1" t="s">
        <v>10</v>
      </c>
      <c r="G100" s="2"/>
      <c r="H100" s="2"/>
    </row>
    <row r="101" spans="1:11" hidden="1" x14ac:dyDescent="0.25">
      <c r="A101" s="3">
        <v>90367</v>
      </c>
      <c r="B101" s="1" t="s">
        <v>15</v>
      </c>
      <c r="C101" s="1"/>
      <c r="D101" s="2"/>
      <c r="E101" s="2" t="s">
        <v>118</v>
      </c>
      <c r="F101" s="1" t="s">
        <v>10</v>
      </c>
      <c r="G101" s="2"/>
      <c r="H101" s="2"/>
    </row>
    <row r="102" spans="1:11" hidden="1" x14ac:dyDescent="0.25">
      <c r="A102" s="3">
        <v>90360</v>
      </c>
      <c r="B102" s="1" t="s">
        <v>15</v>
      </c>
      <c r="C102" s="1"/>
      <c r="D102" s="2"/>
      <c r="E102" s="2" t="s">
        <v>119</v>
      </c>
      <c r="F102" s="1" t="s">
        <v>10</v>
      </c>
      <c r="G102" s="2"/>
      <c r="H102" s="2"/>
    </row>
    <row r="103" spans="1:11" hidden="1" x14ac:dyDescent="0.25">
      <c r="A103" s="3">
        <v>90347</v>
      </c>
      <c r="B103" s="1" t="s">
        <v>15</v>
      </c>
      <c r="C103" s="1"/>
      <c r="D103" s="2"/>
      <c r="E103" s="2" t="s">
        <v>120</v>
      </c>
      <c r="F103" s="1" t="s">
        <v>10</v>
      </c>
      <c r="G103" s="2"/>
      <c r="H103" s="2"/>
    </row>
    <row r="104" spans="1:11" hidden="1" x14ac:dyDescent="0.25">
      <c r="A104" s="3">
        <v>90369</v>
      </c>
      <c r="B104" s="1" t="s">
        <v>15</v>
      </c>
      <c r="C104" s="1"/>
      <c r="D104" s="2"/>
      <c r="E104" s="2" t="s">
        <v>121</v>
      </c>
      <c r="F104" s="1" t="s">
        <v>10</v>
      </c>
      <c r="G104" s="2"/>
      <c r="H104" s="2"/>
    </row>
    <row r="105" spans="1:11" hidden="1" x14ac:dyDescent="0.25">
      <c r="A105" s="3">
        <v>90340</v>
      </c>
      <c r="B105" s="1" t="s">
        <v>15</v>
      </c>
      <c r="C105" s="1"/>
      <c r="D105" s="2"/>
      <c r="E105" s="2" t="s">
        <v>122</v>
      </c>
      <c r="F105" s="1" t="s">
        <v>10</v>
      </c>
      <c r="G105" s="2"/>
      <c r="H105" s="2"/>
    </row>
    <row r="106" spans="1:11" hidden="1" x14ac:dyDescent="0.25">
      <c r="A106" s="3">
        <v>90359</v>
      </c>
      <c r="B106" s="1" t="s">
        <v>15</v>
      </c>
      <c r="C106" s="1"/>
      <c r="D106" s="2"/>
      <c r="E106" s="2" t="s">
        <v>123</v>
      </c>
      <c r="F106" s="1" t="s">
        <v>10</v>
      </c>
      <c r="G106" s="2"/>
      <c r="H106" s="2"/>
    </row>
    <row r="107" spans="1:11" hidden="1" x14ac:dyDescent="0.25">
      <c r="A107" s="3">
        <v>90358</v>
      </c>
      <c r="B107" s="1" t="s">
        <v>15</v>
      </c>
      <c r="C107" s="1"/>
      <c r="D107" s="2"/>
      <c r="E107" s="2" t="s">
        <v>124</v>
      </c>
      <c r="F107" s="1" t="s">
        <v>10</v>
      </c>
      <c r="G107" s="2"/>
      <c r="H107" s="2"/>
    </row>
    <row r="108" spans="1:11" hidden="1" x14ac:dyDescent="0.25">
      <c r="A108" s="3">
        <v>90384</v>
      </c>
      <c r="B108" s="1" t="s">
        <v>15</v>
      </c>
      <c r="C108" s="1"/>
      <c r="D108" s="2"/>
      <c r="E108" s="2" t="s">
        <v>125</v>
      </c>
      <c r="F108" s="1" t="s">
        <v>10</v>
      </c>
      <c r="G108" s="2"/>
      <c r="H108" s="2"/>
    </row>
    <row r="109" spans="1:11" hidden="1" x14ac:dyDescent="0.25">
      <c r="A109" s="3">
        <v>93093</v>
      </c>
      <c r="B109" s="1" t="s">
        <v>15</v>
      </c>
      <c r="C109" s="1"/>
      <c r="D109" s="2"/>
      <c r="E109" s="2" t="s">
        <v>126</v>
      </c>
      <c r="F109" s="1" t="s">
        <v>10</v>
      </c>
      <c r="G109" s="2"/>
      <c r="H109" s="2"/>
      <c r="K109">
        <v>200</v>
      </c>
    </row>
    <row r="110" spans="1:11" hidden="1" x14ac:dyDescent="0.25">
      <c r="A110" s="3">
        <v>90387</v>
      </c>
      <c r="B110" s="1" t="s">
        <v>15</v>
      </c>
      <c r="C110" s="1"/>
      <c r="D110" s="2"/>
      <c r="E110" s="2" t="s">
        <v>127</v>
      </c>
      <c r="F110" s="1" t="s">
        <v>10</v>
      </c>
      <c r="G110" s="2"/>
      <c r="H110" s="2"/>
    </row>
    <row r="111" spans="1:11" hidden="1" x14ac:dyDescent="0.25">
      <c r="A111" s="3">
        <v>90388</v>
      </c>
      <c r="B111" s="1" t="s">
        <v>15</v>
      </c>
      <c r="C111" s="1"/>
      <c r="D111" s="2"/>
      <c r="E111" s="2" t="s">
        <v>128</v>
      </c>
      <c r="F111" s="1" t="s">
        <v>10</v>
      </c>
      <c r="G111" s="2"/>
      <c r="H111" s="2"/>
    </row>
    <row r="112" spans="1:11" hidden="1" x14ac:dyDescent="0.25">
      <c r="A112" s="3">
        <v>90081</v>
      </c>
      <c r="B112" s="1" t="s">
        <v>8</v>
      </c>
      <c r="C112" s="1" t="s">
        <v>129</v>
      </c>
      <c r="D112" s="2"/>
      <c r="E112" s="2"/>
      <c r="F112" s="1" t="s">
        <v>10</v>
      </c>
      <c r="G112" s="2" t="s">
        <v>11</v>
      </c>
      <c r="H112" s="2"/>
    </row>
    <row r="113" spans="1:8" x14ac:dyDescent="0.25">
      <c r="A113" s="3">
        <v>90174</v>
      </c>
      <c r="B113" s="1" t="s">
        <v>12</v>
      </c>
      <c r="C113" s="1"/>
      <c r="D113" s="2" t="s">
        <v>130</v>
      </c>
      <c r="E113" s="2"/>
      <c r="F113" s="1" t="s">
        <v>10</v>
      </c>
      <c r="G113" s="2" t="s">
        <v>131</v>
      </c>
      <c r="H113" s="2">
        <v>160</v>
      </c>
    </row>
    <row r="114" spans="1:8" hidden="1" x14ac:dyDescent="0.25">
      <c r="A114" s="3">
        <v>90385</v>
      </c>
      <c r="B114" s="1" t="s">
        <v>15</v>
      </c>
      <c r="C114" s="1"/>
      <c r="D114" s="2"/>
      <c r="E114" s="2" t="s">
        <v>132</v>
      </c>
      <c r="F114" s="1" t="s">
        <v>10</v>
      </c>
      <c r="G114" s="2"/>
      <c r="H114" s="2"/>
    </row>
    <row r="115" spans="1:8" hidden="1" x14ac:dyDescent="0.25">
      <c r="A115" s="3">
        <v>90383</v>
      </c>
      <c r="B115" s="1" t="s">
        <v>15</v>
      </c>
      <c r="C115" s="1"/>
      <c r="D115" s="2"/>
      <c r="E115" s="2" t="s">
        <v>133</v>
      </c>
      <c r="F115" s="1" t="s">
        <v>10</v>
      </c>
      <c r="G115" s="2"/>
      <c r="H115" s="2"/>
    </row>
    <row r="116" spans="1:8" hidden="1" x14ac:dyDescent="0.25">
      <c r="A116" s="3">
        <v>93097</v>
      </c>
      <c r="B116" s="1" t="s">
        <v>15</v>
      </c>
      <c r="C116" s="1"/>
      <c r="D116" s="2"/>
      <c r="E116" s="2" t="s">
        <v>134</v>
      </c>
      <c r="F116" s="1" t="s">
        <v>10</v>
      </c>
      <c r="G116" s="2"/>
      <c r="H116" s="2"/>
    </row>
    <row r="117" spans="1:8" hidden="1" x14ac:dyDescent="0.25">
      <c r="A117" s="3">
        <v>93088</v>
      </c>
      <c r="B117" s="1" t="s">
        <v>15</v>
      </c>
      <c r="C117" s="1"/>
      <c r="D117" s="2"/>
      <c r="E117" s="2" t="s">
        <v>135</v>
      </c>
      <c r="F117" s="1" t="s">
        <v>10</v>
      </c>
      <c r="G117" s="2"/>
      <c r="H117" s="2"/>
    </row>
    <row r="118" spans="1:8" hidden="1" x14ac:dyDescent="0.25">
      <c r="A118" s="3">
        <v>90386</v>
      </c>
      <c r="B118" s="1" t="s">
        <v>15</v>
      </c>
      <c r="C118" s="1"/>
      <c r="D118" s="2"/>
      <c r="E118" s="2" t="s">
        <v>136</v>
      </c>
      <c r="F118" s="1" t="s">
        <v>10</v>
      </c>
      <c r="G118" s="2"/>
      <c r="H118" s="2"/>
    </row>
    <row r="119" spans="1:8" hidden="1" x14ac:dyDescent="0.25">
      <c r="A119" s="3">
        <v>96844</v>
      </c>
      <c r="B119" s="1" t="s">
        <v>15</v>
      </c>
      <c r="C119" s="1"/>
      <c r="D119" s="2"/>
      <c r="E119" s="2" t="s">
        <v>137</v>
      </c>
      <c r="F119" s="1" t="s">
        <v>10</v>
      </c>
      <c r="G119" s="2"/>
      <c r="H119" s="2"/>
    </row>
    <row r="120" spans="1:8" x14ac:dyDescent="0.25">
      <c r="A120" s="3">
        <v>90175</v>
      </c>
      <c r="B120" s="1" t="s">
        <v>12</v>
      </c>
      <c r="C120" s="1"/>
      <c r="D120" s="2" t="s">
        <v>138</v>
      </c>
      <c r="E120" s="2"/>
      <c r="F120" s="1" t="s">
        <v>10</v>
      </c>
      <c r="G120" s="2" t="s">
        <v>139</v>
      </c>
      <c r="H120" s="2">
        <v>60</v>
      </c>
    </row>
    <row r="121" spans="1:8" hidden="1" x14ac:dyDescent="0.25">
      <c r="A121" s="3">
        <v>90390</v>
      </c>
      <c r="B121" s="1" t="s">
        <v>15</v>
      </c>
      <c r="C121" s="1"/>
      <c r="D121" s="2"/>
      <c r="E121" s="2" t="s">
        <v>140</v>
      </c>
      <c r="F121" s="1" t="s">
        <v>10</v>
      </c>
      <c r="G121" s="2"/>
      <c r="H121" s="2"/>
    </row>
    <row r="122" spans="1:8" hidden="1" x14ac:dyDescent="0.25">
      <c r="A122" s="3">
        <v>90391</v>
      </c>
      <c r="B122" s="1" t="s">
        <v>15</v>
      </c>
      <c r="C122" s="1"/>
      <c r="D122" s="2"/>
      <c r="E122" s="2" t="s">
        <v>141</v>
      </c>
      <c r="F122" s="1" t="s">
        <v>10</v>
      </c>
      <c r="G122" s="2"/>
      <c r="H122" s="2"/>
    </row>
    <row r="123" spans="1:8" hidden="1" x14ac:dyDescent="0.25">
      <c r="A123" s="3">
        <v>90091</v>
      </c>
      <c r="B123" s="1" t="s">
        <v>8</v>
      </c>
      <c r="C123" s="1" t="s">
        <v>142</v>
      </c>
      <c r="D123" s="2"/>
      <c r="E123" s="2"/>
      <c r="F123" s="1" t="s">
        <v>10</v>
      </c>
      <c r="G123" s="2" t="s">
        <v>11</v>
      </c>
      <c r="H123" s="2"/>
    </row>
    <row r="124" spans="1:8" x14ac:dyDescent="0.25">
      <c r="A124" s="3">
        <v>90749</v>
      </c>
      <c r="B124" s="1" t="s">
        <v>12</v>
      </c>
      <c r="C124" s="1"/>
      <c r="D124" s="2" t="s">
        <v>143</v>
      </c>
      <c r="E124" s="2"/>
      <c r="F124" s="1" t="s">
        <v>10</v>
      </c>
      <c r="G124" s="2" t="s">
        <v>144</v>
      </c>
      <c r="H124" s="2">
        <v>220</v>
      </c>
    </row>
    <row r="125" spans="1:8" hidden="1" x14ac:dyDescent="0.25">
      <c r="A125" s="3">
        <v>90787</v>
      </c>
      <c r="B125" s="1" t="s">
        <v>15</v>
      </c>
      <c r="C125" s="1"/>
      <c r="D125" s="2"/>
      <c r="E125" s="2" t="s">
        <v>145</v>
      </c>
      <c r="F125" s="1" t="s">
        <v>10</v>
      </c>
      <c r="G125" s="2"/>
      <c r="H125" s="2"/>
    </row>
    <row r="126" spans="1:8" hidden="1" x14ac:dyDescent="0.25">
      <c r="A126" s="3">
        <v>90788</v>
      </c>
      <c r="B126" s="1" t="s">
        <v>15</v>
      </c>
      <c r="C126" s="1"/>
      <c r="D126" s="2"/>
      <c r="E126" s="2" t="s">
        <v>146</v>
      </c>
      <c r="F126" s="1" t="s">
        <v>10</v>
      </c>
      <c r="G126" s="2"/>
      <c r="H126" s="2"/>
    </row>
    <row r="127" spans="1:8" hidden="1" x14ac:dyDescent="0.25">
      <c r="A127" s="3">
        <v>90789</v>
      </c>
      <c r="B127" s="1" t="s">
        <v>15</v>
      </c>
      <c r="C127" s="1"/>
      <c r="D127" s="2"/>
      <c r="E127" s="2" t="s">
        <v>147</v>
      </c>
      <c r="F127" s="1" t="s">
        <v>10</v>
      </c>
      <c r="G127" s="2"/>
      <c r="H127" s="2"/>
    </row>
    <row r="128" spans="1:8" hidden="1" x14ac:dyDescent="0.25">
      <c r="A128" s="3">
        <v>90791</v>
      </c>
      <c r="B128" s="1" t="s">
        <v>15</v>
      </c>
      <c r="C128" s="1"/>
      <c r="D128" s="2"/>
      <c r="E128" s="2" t="s">
        <v>148</v>
      </c>
      <c r="F128" s="1" t="s">
        <v>10</v>
      </c>
      <c r="G128" s="2"/>
      <c r="H128" s="2"/>
    </row>
    <row r="129" spans="1:10" hidden="1" x14ac:dyDescent="0.25">
      <c r="A129" s="3">
        <v>96839</v>
      </c>
      <c r="B129" s="1" t="s">
        <v>15</v>
      </c>
      <c r="C129" s="1"/>
      <c r="D129" s="2"/>
      <c r="E129" s="2" t="s">
        <v>149</v>
      </c>
      <c r="F129" s="1" t="s">
        <v>10</v>
      </c>
      <c r="G129" s="2"/>
      <c r="H129" s="2"/>
    </row>
    <row r="130" spans="1:10" hidden="1" x14ac:dyDescent="0.25">
      <c r="A130" s="3">
        <v>96842</v>
      </c>
      <c r="B130" s="1" t="s">
        <v>15</v>
      </c>
      <c r="C130" s="1"/>
      <c r="D130" s="2"/>
      <c r="E130" s="2" t="s">
        <v>150</v>
      </c>
      <c r="F130" s="1" t="s">
        <v>10</v>
      </c>
      <c r="G130" s="2"/>
      <c r="H130" s="2"/>
    </row>
    <row r="131" spans="1:10" hidden="1" x14ac:dyDescent="0.25">
      <c r="A131" s="3">
        <v>90080</v>
      </c>
      <c r="B131" s="1" t="s">
        <v>8</v>
      </c>
      <c r="C131" s="1" t="s">
        <v>151</v>
      </c>
      <c r="D131" s="2"/>
      <c r="E131" s="2"/>
      <c r="F131" s="1" t="s">
        <v>10</v>
      </c>
      <c r="G131" s="2" t="s">
        <v>11</v>
      </c>
      <c r="H131" s="2"/>
    </row>
    <row r="132" spans="1:10" x14ac:dyDescent="0.25">
      <c r="A132" s="3">
        <v>90750</v>
      </c>
      <c r="B132" s="1" t="s">
        <v>12</v>
      </c>
      <c r="C132" s="1"/>
      <c r="D132" s="2" t="s">
        <v>152</v>
      </c>
      <c r="E132" s="2"/>
      <c r="F132" s="1" t="s">
        <v>10</v>
      </c>
      <c r="G132" s="2" t="s">
        <v>153</v>
      </c>
      <c r="H132" s="2">
        <v>280</v>
      </c>
    </row>
    <row r="133" spans="1:10" hidden="1" x14ac:dyDescent="0.25">
      <c r="A133" s="3">
        <v>90792</v>
      </c>
      <c r="B133" s="1" t="s">
        <v>15</v>
      </c>
      <c r="C133" s="1"/>
      <c r="D133" s="2"/>
      <c r="E133" s="2" t="s">
        <v>154</v>
      </c>
      <c r="F133" s="1" t="s">
        <v>10</v>
      </c>
      <c r="G133" s="2"/>
      <c r="H133" s="2"/>
    </row>
    <row r="134" spans="1:10" hidden="1" x14ac:dyDescent="0.25">
      <c r="A134" s="3">
        <v>90793</v>
      </c>
      <c r="B134" s="1" t="s">
        <v>15</v>
      </c>
      <c r="C134" s="1"/>
      <c r="D134" s="2"/>
      <c r="E134" s="2" t="s">
        <v>155</v>
      </c>
      <c r="F134" s="1" t="s">
        <v>10</v>
      </c>
      <c r="G134" s="2"/>
      <c r="H134" s="2"/>
    </row>
    <row r="135" spans="1:10" hidden="1" x14ac:dyDescent="0.25">
      <c r="A135" s="3">
        <v>90796</v>
      </c>
      <c r="B135" s="1" t="s">
        <v>15</v>
      </c>
      <c r="C135" s="1"/>
      <c r="D135" s="2"/>
      <c r="E135" s="2" t="s">
        <v>156</v>
      </c>
      <c r="F135" s="1" t="s">
        <v>10</v>
      </c>
      <c r="G135" s="2"/>
      <c r="H135" s="2"/>
    </row>
    <row r="136" spans="1:10" hidden="1" x14ac:dyDescent="0.25">
      <c r="A136" s="3">
        <v>90798</v>
      </c>
      <c r="B136" s="1" t="s">
        <v>15</v>
      </c>
      <c r="C136" s="1"/>
      <c r="D136" s="2"/>
      <c r="E136" s="2" t="s">
        <v>157</v>
      </c>
      <c r="F136" s="1" t="s">
        <v>10</v>
      </c>
      <c r="G136" s="2"/>
      <c r="H136" s="2"/>
    </row>
    <row r="137" spans="1:10" hidden="1" x14ac:dyDescent="0.25">
      <c r="A137" s="3">
        <v>93603</v>
      </c>
      <c r="B137" s="1" t="s">
        <v>15</v>
      </c>
      <c r="C137" s="1"/>
      <c r="D137" s="2"/>
      <c r="E137" s="2" t="s">
        <v>158</v>
      </c>
      <c r="F137" s="1" t="s">
        <v>10</v>
      </c>
      <c r="G137" s="2"/>
      <c r="H137" s="2"/>
    </row>
    <row r="138" spans="1:10" hidden="1" x14ac:dyDescent="0.25">
      <c r="A138" s="3">
        <v>93604</v>
      </c>
      <c r="B138" s="1" t="s">
        <v>15</v>
      </c>
      <c r="C138" s="1"/>
      <c r="D138" s="2"/>
      <c r="E138" s="2" t="s">
        <v>159</v>
      </c>
      <c r="F138" s="1" t="s">
        <v>10</v>
      </c>
      <c r="G138" s="2"/>
      <c r="H138" s="2"/>
    </row>
    <row r="139" spans="1:10" hidden="1" x14ac:dyDescent="0.25">
      <c r="A139" s="3">
        <v>93605</v>
      </c>
      <c r="B139" s="1" t="s">
        <v>15</v>
      </c>
      <c r="C139" s="1"/>
      <c r="D139" s="2"/>
      <c r="E139" s="2" t="s">
        <v>160</v>
      </c>
      <c r="F139" s="1" t="s">
        <v>10</v>
      </c>
      <c r="G139" s="2"/>
      <c r="H139" s="2"/>
    </row>
    <row r="140" spans="1:10" hidden="1" x14ac:dyDescent="0.25">
      <c r="A140" s="3">
        <v>97972</v>
      </c>
      <c r="B140" s="1" t="s">
        <v>15</v>
      </c>
      <c r="C140" s="1"/>
      <c r="D140" s="2"/>
      <c r="E140" s="2" t="s">
        <v>161</v>
      </c>
      <c r="F140" s="1" t="s">
        <v>10</v>
      </c>
      <c r="G140" s="2" t="s">
        <v>162</v>
      </c>
      <c r="H140" s="2"/>
    </row>
    <row r="141" spans="1:10" hidden="1" x14ac:dyDescent="0.25">
      <c r="A141" s="3">
        <v>90082</v>
      </c>
      <c r="B141" s="1" t="s">
        <v>8</v>
      </c>
      <c r="C141" s="1" t="s">
        <v>163</v>
      </c>
      <c r="D141" s="2"/>
      <c r="E141" s="2"/>
      <c r="F141" s="1" t="s">
        <v>10</v>
      </c>
      <c r="G141" s="2" t="s">
        <v>11</v>
      </c>
      <c r="H141" s="2"/>
    </row>
    <row r="142" spans="1:10" x14ac:dyDescent="0.25">
      <c r="A142" s="3">
        <v>90751</v>
      </c>
      <c r="B142" s="1" t="s">
        <v>12</v>
      </c>
      <c r="C142" s="1"/>
      <c r="D142" s="2" t="s">
        <v>164</v>
      </c>
      <c r="E142" s="2"/>
      <c r="F142" s="1" t="s">
        <v>10</v>
      </c>
      <c r="G142" s="2" t="s">
        <v>165</v>
      </c>
      <c r="H142" s="2">
        <v>260</v>
      </c>
      <c r="J142" s="16"/>
    </row>
    <row r="143" spans="1:10" hidden="1" x14ac:dyDescent="0.25">
      <c r="A143" s="3">
        <v>90768</v>
      </c>
      <c r="B143" s="1" t="s">
        <v>15</v>
      </c>
      <c r="C143" s="1"/>
      <c r="D143" s="2"/>
      <c r="E143" s="2" t="s">
        <v>167</v>
      </c>
      <c r="F143" s="1" t="s">
        <v>10</v>
      </c>
      <c r="G143" s="2"/>
      <c r="H143" s="2"/>
      <c r="J143" s="8"/>
    </row>
    <row r="144" spans="1:10" hidden="1" x14ac:dyDescent="0.25">
      <c r="A144" s="3">
        <v>90772</v>
      </c>
      <c r="B144" s="1" t="s">
        <v>15</v>
      </c>
      <c r="C144" s="1"/>
      <c r="D144" s="2"/>
      <c r="E144" s="2" t="s">
        <v>168</v>
      </c>
      <c r="F144" s="1" t="s">
        <v>10</v>
      </c>
      <c r="G144" s="2"/>
      <c r="H144" s="2"/>
      <c r="J144" s="8"/>
    </row>
    <row r="145" spans="1:10" hidden="1" x14ac:dyDescent="0.25">
      <c r="A145" s="3">
        <v>90771</v>
      </c>
      <c r="B145" s="1" t="s">
        <v>15</v>
      </c>
      <c r="C145" s="1"/>
      <c r="D145" s="2"/>
      <c r="E145" s="2" t="s">
        <v>169</v>
      </c>
      <c r="F145" s="1" t="s">
        <v>10</v>
      </c>
      <c r="G145" s="2"/>
      <c r="H145" s="2"/>
      <c r="J145" s="8"/>
    </row>
    <row r="146" spans="1:10" hidden="1" x14ac:dyDescent="0.25">
      <c r="A146" s="3">
        <v>90786</v>
      </c>
      <c r="B146" s="1" t="s">
        <v>15</v>
      </c>
      <c r="C146" s="1"/>
      <c r="D146" s="2"/>
      <c r="E146" s="2" t="s">
        <v>170</v>
      </c>
      <c r="F146" s="1" t="s">
        <v>10</v>
      </c>
      <c r="G146" s="2"/>
      <c r="H146" s="2"/>
      <c r="J146" s="8"/>
    </row>
    <row r="147" spans="1:10" hidden="1" x14ac:dyDescent="0.25">
      <c r="A147" s="3">
        <v>97865</v>
      </c>
      <c r="B147" s="1" t="s">
        <v>15</v>
      </c>
      <c r="C147" s="1"/>
      <c r="D147" s="2"/>
      <c r="E147" s="2" t="s">
        <v>171</v>
      </c>
      <c r="F147" s="1" t="s">
        <v>10</v>
      </c>
      <c r="G147" s="2"/>
      <c r="H147" s="2"/>
      <c r="J147" s="8"/>
    </row>
    <row r="148" spans="1:10" hidden="1" x14ac:dyDescent="0.25">
      <c r="A148" s="3">
        <v>97866</v>
      </c>
      <c r="B148" s="1" t="s">
        <v>15</v>
      </c>
      <c r="C148" s="1"/>
      <c r="D148" s="2"/>
      <c r="E148" s="2" t="s">
        <v>172</v>
      </c>
      <c r="F148" s="1" t="s">
        <v>10</v>
      </c>
      <c r="G148" s="2"/>
      <c r="H148" s="2"/>
      <c r="J148" s="8"/>
    </row>
    <row r="149" spans="1:10" hidden="1" x14ac:dyDescent="0.25">
      <c r="A149" s="3">
        <v>90083</v>
      </c>
      <c r="B149" s="1" t="s">
        <v>8</v>
      </c>
      <c r="C149" s="1" t="s">
        <v>173</v>
      </c>
      <c r="D149" s="2"/>
      <c r="E149" s="2"/>
      <c r="F149" s="1" t="s">
        <v>10</v>
      </c>
      <c r="G149" s="2" t="s">
        <v>11</v>
      </c>
      <c r="H149" s="2"/>
      <c r="J149" s="8"/>
    </row>
    <row r="150" spans="1:10" x14ac:dyDescent="0.25">
      <c r="A150" s="3">
        <v>90178</v>
      </c>
      <c r="B150" s="1" t="s">
        <v>12</v>
      </c>
      <c r="C150" s="1"/>
      <c r="D150" s="2" t="s">
        <v>174</v>
      </c>
      <c r="E150" s="2"/>
      <c r="F150" s="1" t="s">
        <v>10</v>
      </c>
      <c r="G150" s="2" t="s">
        <v>73</v>
      </c>
      <c r="H150" s="2">
        <v>120</v>
      </c>
      <c r="J150" s="8"/>
    </row>
    <row r="151" spans="1:10" hidden="1" x14ac:dyDescent="0.25">
      <c r="A151" s="3">
        <v>90393</v>
      </c>
      <c r="B151" s="1" t="s">
        <v>15</v>
      </c>
      <c r="C151" s="1"/>
      <c r="D151" s="2"/>
      <c r="E151" s="2" t="s">
        <v>176</v>
      </c>
      <c r="F151" s="1" t="s">
        <v>10</v>
      </c>
      <c r="G151" s="2"/>
      <c r="H151" s="2"/>
      <c r="J151" s="8"/>
    </row>
    <row r="152" spans="1:10" hidden="1" x14ac:dyDescent="0.25">
      <c r="A152" s="3">
        <v>90222</v>
      </c>
      <c r="B152" s="1" t="s">
        <v>15</v>
      </c>
      <c r="C152" s="1"/>
      <c r="D152" s="2"/>
      <c r="E152" s="2" t="s">
        <v>177</v>
      </c>
      <c r="F152" s="1" t="s">
        <v>10</v>
      </c>
      <c r="G152" s="2"/>
      <c r="H152" s="2"/>
      <c r="J152" s="8"/>
    </row>
    <row r="153" spans="1:10" x14ac:dyDescent="0.25">
      <c r="A153" s="3">
        <v>90176</v>
      </c>
      <c r="B153" s="1" t="s">
        <v>12</v>
      </c>
      <c r="C153" s="1"/>
      <c r="D153" s="2" t="s">
        <v>178</v>
      </c>
      <c r="E153" s="2"/>
      <c r="F153" s="1" t="s">
        <v>10</v>
      </c>
      <c r="G153" s="2" t="s">
        <v>14</v>
      </c>
      <c r="H153" s="2">
        <v>160</v>
      </c>
      <c r="J153" s="8"/>
    </row>
    <row r="154" spans="1:10" hidden="1" x14ac:dyDescent="0.25">
      <c r="A154" s="3">
        <v>90394</v>
      </c>
      <c r="B154" s="1" t="s">
        <v>15</v>
      </c>
      <c r="C154" s="1"/>
      <c r="D154" s="2"/>
      <c r="E154" s="2" t="s">
        <v>179</v>
      </c>
      <c r="F154" s="1" t="s">
        <v>10</v>
      </c>
      <c r="G154" s="2"/>
      <c r="H154" s="2"/>
      <c r="J154" s="8"/>
    </row>
    <row r="155" spans="1:10" hidden="1" x14ac:dyDescent="0.25">
      <c r="A155" s="3">
        <v>90395</v>
      </c>
      <c r="B155" s="1" t="s">
        <v>15</v>
      </c>
      <c r="C155" s="1"/>
      <c r="D155" s="2"/>
      <c r="E155" s="2" t="s">
        <v>180</v>
      </c>
      <c r="F155" s="1" t="s">
        <v>10</v>
      </c>
      <c r="G155" s="2"/>
      <c r="H155" s="2"/>
      <c r="J155" s="8"/>
    </row>
    <row r="156" spans="1:10" hidden="1" x14ac:dyDescent="0.25">
      <c r="A156" s="3">
        <v>90396</v>
      </c>
      <c r="B156" s="1" t="s">
        <v>15</v>
      </c>
      <c r="C156" s="1"/>
      <c r="D156" s="2"/>
      <c r="E156" s="2" t="s">
        <v>181</v>
      </c>
      <c r="F156" s="1" t="s">
        <v>10</v>
      </c>
      <c r="G156" s="2"/>
      <c r="H156" s="2"/>
      <c r="J156" s="8"/>
    </row>
    <row r="157" spans="1:10" hidden="1" x14ac:dyDescent="0.25">
      <c r="A157" s="3">
        <v>90397</v>
      </c>
      <c r="B157" s="1" t="s">
        <v>15</v>
      </c>
      <c r="C157" s="1"/>
      <c r="D157" s="2"/>
      <c r="E157" s="2" t="s">
        <v>182</v>
      </c>
      <c r="F157" s="1" t="s">
        <v>10</v>
      </c>
      <c r="G157" s="2"/>
      <c r="H157" s="2"/>
      <c r="J157" s="8"/>
    </row>
    <row r="158" spans="1:10" hidden="1" x14ac:dyDescent="0.25">
      <c r="A158" s="3">
        <v>90085</v>
      </c>
      <c r="B158" s="1" t="s">
        <v>8</v>
      </c>
      <c r="C158" s="1" t="s">
        <v>183</v>
      </c>
      <c r="D158" s="2"/>
      <c r="E158" s="2"/>
      <c r="F158" s="1" t="s">
        <v>10</v>
      </c>
      <c r="G158" s="2" t="s">
        <v>11</v>
      </c>
      <c r="H158" s="2"/>
      <c r="J158" s="8"/>
    </row>
    <row r="159" spans="1:10" x14ac:dyDescent="0.25">
      <c r="A159" s="3">
        <v>90181</v>
      </c>
      <c r="B159" s="1" t="s">
        <v>12</v>
      </c>
      <c r="C159" s="1"/>
      <c r="D159" s="2" t="s">
        <v>184</v>
      </c>
      <c r="E159" s="2"/>
      <c r="F159" s="1" t="s">
        <v>10</v>
      </c>
      <c r="G159" s="2" t="s">
        <v>14</v>
      </c>
      <c r="H159" s="2">
        <v>160</v>
      </c>
      <c r="J159" s="8"/>
    </row>
    <row r="160" spans="1:10" x14ac:dyDescent="0.25">
      <c r="A160" s="3">
        <v>90183</v>
      </c>
      <c r="B160" s="1" t="s">
        <v>12</v>
      </c>
      <c r="C160" s="1"/>
      <c r="D160" s="2" t="s">
        <v>185</v>
      </c>
      <c r="E160" s="2"/>
      <c r="F160" s="1" t="s">
        <v>10</v>
      </c>
      <c r="G160" s="2"/>
      <c r="H160" s="2"/>
      <c r="J160" s="8"/>
    </row>
    <row r="161" spans="1:10" x14ac:dyDescent="0.25">
      <c r="A161" s="3">
        <v>90184</v>
      </c>
      <c r="B161" s="1" t="s">
        <v>12</v>
      </c>
      <c r="C161" s="1"/>
      <c r="D161" s="2" t="s">
        <v>186</v>
      </c>
      <c r="E161" s="2"/>
      <c r="F161" s="1" t="s">
        <v>10</v>
      </c>
      <c r="G161" s="2" t="s">
        <v>14</v>
      </c>
      <c r="H161" s="2">
        <v>160</v>
      </c>
      <c r="J161" s="8"/>
    </row>
    <row r="162" spans="1:10" x14ac:dyDescent="0.25">
      <c r="A162" s="3"/>
      <c r="B162" s="1"/>
      <c r="C162" s="1"/>
      <c r="D162" s="2"/>
      <c r="E162" s="2"/>
      <c r="F162" s="1"/>
      <c r="G162" s="2"/>
      <c r="H162" s="2"/>
      <c r="J162" s="8"/>
    </row>
    <row r="163" spans="1:10" x14ac:dyDescent="0.25">
      <c r="A163" s="3">
        <v>90185</v>
      </c>
      <c r="B163" s="1" t="s">
        <v>12</v>
      </c>
      <c r="C163" s="1"/>
      <c r="D163" s="2" t="s">
        <v>187</v>
      </c>
      <c r="E163" s="2"/>
      <c r="F163" s="1" t="s">
        <v>10</v>
      </c>
      <c r="G163" s="2" t="s">
        <v>14</v>
      </c>
      <c r="H163" s="2">
        <v>160</v>
      </c>
      <c r="J163" s="8"/>
    </row>
    <row r="164" spans="1:10" x14ac:dyDescent="0.25">
      <c r="A164" s="3">
        <v>90186</v>
      </c>
      <c r="B164" s="1" t="s">
        <v>12</v>
      </c>
      <c r="C164" s="1"/>
      <c r="D164" s="2" t="s">
        <v>189</v>
      </c>
      <c r="E164" s="2"/>
      <c r="F164" s="1" t="s">
        <v>10</v>
      </c>
      <c r="G164" s="2" t="s">
        <v>190</v>
      </c>
      <c r="H164" s="2">
        <v>40</v>
      </c>
      <c r="J164" s="16"/>
    </row>
    <row r="165" spans="1:10" x14ac:dyDescent="0.25">
      <c r="A165" s="3">
        <v>93074</v>
      </c>
      <c r="B165" s="1" t="s">
        <v>12</v>
      </c>
      <c r="C165" s="1"/>
      <c r="D165" s="2" t="s">
        <v>191</v>
      </c>
      <c r="E165" s="2"/>
      <c r="F165" s="1" t="s">
        <v>10</v>
      </c>
      <c r="G165" s="2" t="s">
        <v>73</v>
      </c>
      <c r="H165" s="2">
        <v>120</v>
      </c>
      <c r="J165" s="8"/>
    </row>
    <row r="166" spans="1:10" hidden="1" x14ac:dyDescent="0.25">
      <c r="A166" s="3">
        <v>90087</v>
      </c>
      <c r="B166" s="1" t="s">
        <v>8</v>
      </c>
      <c r="C166" s="1" t="s">
        <v>192</v>
      </c>
      <c r="D166" s="2"/>
      <c r="E166" s="2"/>
      <c r="F166" s="1" t="s">
        <v>10</v>
      </c>
      <c r="G166" s="2" t="s">
        <v>11</v>
      </c>
      <c r="H166" s="2"/>
    </row>
    <row r="167" spans="1:10" x14ac:dyDescent="0.25">
      <c r="A167" s="3">
        <v>90190</v>
      </c>
      <c r="B167" s="1" t="s">
        <v>12</v>
      </c>
      <c r="C167" s="1"/>
      <c r="D167" s="2" t="s">
        <v>193</v>
      </c>
      <c r="E167" s="2"/>
      <c r="F167" s="1" t="s">
        <v>10</v>
      </c>
      <c r="G167" s="2" t="s">
        <v>194</v>
      </c>
      <c r="H167" s="2">
        <v>80</v>
      </c>
    </row>
    <row r="168" spans="1:10" hidden="1" x14ac:dyDescent="0.25">
      <c r="A168" s="3">
        <v>90402</v>
      </c>
      <c r="B168" s="1" t="s">
        <v>15</v>
      </c>
      <c r="C168" s="1"/>
      <c r="D168" s="2"/>
      <c r="E168" s="2" t="s">
        <v>195</v>
      </c>
      <c r="F168" s="1" t="s">
        <v>10</v>
      </c>
      <c r="G168" s="2"/>
      <c r="H168" s="2"/>
    </row>
    <row r="169" spans="1:10" hidden="1" x14ac:dyDescent="0.25">
      <c r="A169" s="3">
        <v>90086</v>
      </c>
      <c r="B169" s="1" t="s">
        <v>8</v>
      </c>
      <c r="C169" s="1" t="s">
        <v>196</v>
      </c>
      <c r="D169" s="2"/>
      <c r="E169" s="2"/>
      <c r="F169" s="1" t="s">
        <v>10</v>
      </c>
      <c r="G169" s="2" t="s">
        <v>11</v>
      </c>
      <c r="H169" s="2"/>
    </row>
    <row r="170" spans="1:10" x14ac:dyDescent="0.25">
      <c r="A170" s="3">
        <v>90187</v>
      </c>
      <c r="B170" s="1" t="s">
        <v>12</v>
      </c>
      <c r="C170" s="1"/>
      <c r="D170" s="2" t="s">
        <v>197</v>
      </c>
      <c r="E170" s="2"/>
      <c r="F170" s="1" t="s">
        <v>10</v>
      </c>
      <c r="G170" s="2" t="s">
        <v>198</v>
      </c>
      <c r="H170" s="2">
        <v>60</v>
      </c>
    </row>
    <row r="171" spans="1:10" hidden="1" x14ac:dyDescent="0.25">
      <c r="A171" s="3">
        <v>90399</v>
      </c>
      <c r="B171" s="1" t="s">
        <v>15</v>
      </c>
      <c r="C171" s="1"/>
      <c r="D171" s="2"/>
      <c r="E171" s="2" t="s">
        <v>199</v>
      </c>
      <c r="F171" s="1" t="s">
        <v>10</v>
      </c>
      <c r="G171" s="2"/>
      <c r="H171" s="2"/>
    </row>
    <row r="172" spans="1:10" hidden="1" x14ac:dyDescent="0.25">
      <c r="A172" s="3">
        <v>93119</v>
      </c>
      <c r="B172" s="1" t="s">
        <v>15</v>
      </c>
      <c r="C172" s="1"/>
      <c r="D172" s="2"/>
      <c r="E172" s="2" t="s">
        <v>200</v>
      </c>
      <c r="F172" s="1" t="s">
        <v>10</v>
      </c>
      <c r="G172" s="2"/>
      <c r="H172" s="2"/>
    </row>
    <row r="173" spans="1:10" hidden="1" x14ac:dyDescent="0.25">
      <c r="A173" s="3">
        <v>93121</v>
      </c>
      <c r="B173" s="1" t="s">
        <v>15</v>
      </c>
      <c r="C173" s="1"/>
      <c r="D173" s="2"/>
      <c r="E173" s="2" t="s">
        <v>201</v>
      </c>
      <c r="F173" s="1" t="s">
        <v>10</v>
      </c>
      <c r="G173" s="2"/>
      <c r="H173" s="2"/>
    </row>
    <row r="174" spans="1:10" hidden="1" x14ac:dyDescent="0.25">
      <c r="A174" s="3">
        <v>93124</v>
      </c>
      <c r="B174" s="1" t="s">
        <v>15</v>
      </c>
      <c r="C174" s="1"/>
      <c r="D174" s="2"/>
      <c r="E174" s="2" t="s">
        <v>202</v>
      </c>
      <c r="F174" s="1" t="s">
        <v>10</v>
      </c>
      <c r="G174" s="2"/>
      <c r="H174" s="2"/>
    </row>
    <row r="175" spans="1:10" x14ac:dyDescent="0.25">
      <c r="A175" s="3">
        <v>90188</v>
      </c>
      <c r="B175" s="1" t="s">
        <v>12</v>
      </c>
      <c r="C175" s="1"/>
      <c r="D175" s="2" t="s">
        <v>203</v>
      </c>
      <c r="E175" s="2"/>
      <c r="F175" s="1" t="s">
        <v>10</v>
      </c>
      <c r="G175" s="2" t="s">
        <v>198</v>
      </c>
      <c r="H175" s="2">
        <v>60</v>
      </c>
    </row>
    <row r="176" spans="1:10" hidden="1" x14ac:dyDescent="0.25">
      <c r="A176" s="3">
        <v>90400</v>
      </c>
      <c r="B176" s="1" t="s">
        <v>15</v>
      </c>
      <c r="C176" s="1"/>
      <c r="D176" s="2"/>
      <c r="E176" s="2" t="s">
        <v>204</v>
      </c>
      <c r="F176" s="1" t="s">
        <v>10</v>
      </c>
      <c r="G176" s="2"/>
      <c r="H176" s="2"/>
    </row>
    <row r="177" spans="1:8" hidden="1" x14ac:dyDescent="0.25">
      <c r="A177" s="3">
        <v>93123</v>
      </c>
      <c r="B177" s="1" t="s">
        <v>15</v>
      </c>
      <c r="C177" s="1"/>
      <c r="D177" s="2"/>
      <c r="E177" s="2" t="s">
        <v>205</v>
      </c>
      <c r="F177" s="1" t="s">
        <v>10</v>
      </c>
      <c r="G177" s="2"/>
      <c r="H177" s="2"/>
    </row>
    <row r="178" spans="1:8" x14ac:dyDescent="0.25">
      <c r="A178" s="3">
        <v>90189</v>
      </c>
      <c r="B178" s="1" t="s">
        <v>12</v>
      </c>
      <c r="C178" s="1"/>
      <c r="D178" s="2" t="s">
        <v>206</v>
      </c>
      <c r="E178" s="2"/>
      <c r="F178" s="1" t="s">
        <v>10</v>
      </c>
      <c r="G178" s="2" t="s">
        <v>207</v>
      </c>
      <c r="H178" s="2">
        <v>60</v>
      </c>
    </row>
    <row r="179" spans="1:8" hidden="1" x14ac:dyDescent="0.25">
      <c r="A179" s="3">
        <v>90401</v>
      </c>
      <c r="B179" s="1" t="s">
        <v>15</v>
      </c>
      <c r="C179" s="1"/>
      <c r="D179" s="2"/>
      <c r="E179" s="2" t="s">
        <v>208</v>
      </c>
      <c r="F179" s="1" t="s">
        <v>10</v>
      </c>
      <c r="G179" s="2"/>
      <c r="H179" s="2"/>
    </row>
    <row r="180" spans="1:8" hidden="1" x14ac:dyDescent="0.25">
      <c r="A180" s="3">
        <v>93120</v>
      </c>
      <c r="B180" s="1" t="s">
        <v>15</v>
      </c>
      <c r="C180" s="1"/>
      <c r="D180" s="2"/>
      <c r="E180" s="2" t="s">
        <v>209</v>
      </c>
      <c r="F180" s="1" t="s">
        <v>10</v>
      </c>
      <c r="G180" s="2"/>
      <c r="H180" s="2"/>
    </row>
    <row r="181" spans="1:8" hidden="1" x14ac:dyDescent="0.25">
      <c r="A181" s="3">
        <v>93993</v>
      </c>
      <c r="B181" s="1" t="s">
        <v>8</v>
      </c>
      <c r="C181" s="1" t="s">
        <v>210</v>
      </c>
      <c r="D181" s="2"/>
      <c r="E181" s="2"/>
      <c r="F181" s="1" t="s">
        <v>10</v>
      </c>
      <c r="G181" s="2" t="s">
        <v>11</v>
      </c>
      <c r="H181" s="2"/>
    </row>
    <row r="182" spans="1:8" x14ac:dyDescent="0.25">
      <c r="A182" s="3">
        <v>93995</v>
      </c>
      <c r="B182" s="1" t="s">
        <v>12</v>
      </c>
      <c r="C182" s="1"/>
      <c r="D182" s="2" t="s">
        <v>211</v>
      </c>
      <c r="E182" s="2"/>
      <c r="F182" s="1" t="s">
        <v>10</v>
      </c>
      <c r="G182" s="2" t="s">
        <v>212</v>
      </c>
      <c r="H182" s="2">
        <v>320</v>
      </c>
    </row>
    <row r="183" spans="1:8" hidden="1" x14ac:dyDescent="0.25">
      <c r="A183" s="3">
        <v>99652</v>
      </c>
      <c r="B183" s="1" t="s">
        <v>8</v>
      </c>
      <c r="C183" s="1" t="s">
        <v>213</v>
      </c>
      <c r="D183" s="2"/>
      <c r="E183" s="2"/>
      <c r="F183" s="1" t="s">
        <v>10</v>
      </c>
      <c r="G183" s="2" t="s">
        <v>11</v>
      </c>
      <c r="H183" s="2"/>
    </row>
    <row r="184" spans="1:8" x14ac:dyDescent="0.25">
      <c r="A184" s="3">
        <v>99653</v>
      </c>
      <c r="B184" s="1" t="s">
        <v>12</v>
      </c>
      <c r="C184" s="1"/>
      <c r="D184" s="2" t="s">
        <v>213</v>
      </c>
      <c r="E184" s="2"/>
      <c r="F184" s="1" t="s">
        <v>10</v>
      </c>
      <c r="G184" s="2" t="s">
        <v>14</v>
      </c>
      <c r="H184" s="2">
        <v>160</v>
      </c>
    </row>
    <row r="185" spans="1:8" x14ac:dyDescent="0.25">
      <c r="A185" s="3"/>
      <c r="B185" s="1"/>
      <c r="C185" s="1"/>
      <c r="D185" s="2"/>
      <c r="E185" s="2"/>
      <c r="F185" s="1"/>
      <c r="G185" s="2"/>
      <c r="H185" s="2">
        <f>SUM(H4:H184)</f>
        <v>4000</v>
      </c>
    </row>
    <row r="186" spans="1:8" x14ac:dyDescent="0.25">
      <c r="H186">
        <v>4200</v>
      </c>
    </row>
    <row r="187" spans="1:8" x14ac:dyDescent="0.25">
      <c r="A187" s="11" t="s">
        <v>190</v>
      </c>
      <c r="B187" s="11">
        <v>40</v>
      </c>
    </row>
    <row r="188" spans="1:8" x14ac:dyDescent="0.25">
      <c r="A188" s="11" t="s">
        <v>139</v>
      </c>
      <c r="B188" s="11">
        <v>60</v>
      </c>
    </row>
    <row r="189" spans="1:8" x14ac:dyDescent="0.25">
      <c r="A189" s="11" t="s">
        <v>103</v>
      </c>
      <c r="B189" s="11">
        <v>80</v>
      </c>
    </row>
    <row r="190" spans="1:8" x14ac:dyDescent="0.25">
      <c r="A190" s="11" t="s">
        <v>73</v>
      </c>
      <c r="B190" s="11">
        <v>120</v>
      </c>
    </row>
    <row r="191" spans="1:8" x14ac:dyDescent="0.25">
      <c r="A191" s="11" t="s">
        <v>14</v>
      </c>
      <c r="B191" s="11">
        <v>160</v>
      </c>
    </row>
    <row r="192" spans="1:8" x14ac:dyDescent="0.25">
      <c r="A192" s="11" t="s">
        <v>214</v>
      </c>
      <c r="B192" s="11">
        <v>200</v>
      </c>
    </row>
    <row r="196" spans="1:2" x14ac:dyDescent="0.25">
      <c r="A196" t="s">
        <v>139</v>
      </c>
      <c r="B196">
        <v>60</v>
      </c>
    </row>
    <row r="206" spans="1:2" x14ac:dyDescent="0.25">
      <c r="A206" t="s">
        <v>103</v>
      </c>
      <c r="B206">
        <v>80</v>
      </c>
    </row>
    <row r="214" spans="1:2" x14ac:dyDescent="0.25">
      <c r="A214" t="s">
        <v>73</v>
      </c>
      <c r="B214">
        <v>120</v>
      </c>
    </row>
    <row r="229" spans="1:2" x14ac:dyDescent="0.25">
      <c r="A229" t="s">
        <v>14</v>
      </c>
      <c r="B229">
        <v>160</v>
      </c>
    </row>
    <row r="238" spans="1:2" x14ac:dyDescent="0.25">
      <c r="A238" t="s">
        <v>214</v>
      </c>
      <c r="B238">
        <v>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944A-EF1D-4805-89F7-E319FFB2280A}">
  <dimension ref="A1:D19"/>
  <sheetViews>
    <sheetView topLeftCell="B1" zoomScale="110" zoomScaleNormal="110" workbookViewId="0">
      <selection activeCell="C18" sqref="C18"/>
    </sheetView>
  </sheetViews>
  <sheetFormatPr defaultRowHeight="15" x14ac:dyDescent="0.25"/>
  <cols>
    <col min="3" max="3" width="140.85546875" style="12" customWidth="1"/>
    <col min="4" max="4" width="12.42578125" customWidth="1"/>
  </cols>
  <sheetData>
    <row r="1" spans="1:4" ht="15.75" thickBot="1" x14ac:dyDescent="0.3">
      <c r="A1" s="4"/>
      <c r="B1" s="4"/>
      <c r="C1" s="67"/>
    </row>
    <row r="2" spans="1:4" ht="16.5" thickBot="1" x14ac:dyDescent="0.3">
      <c r="A2" s="4"/>
      <c r="B2" s="8"/>
      <c r="C2" s="69" t="s">
        <v>288</v>
      </c>
      <c r="D2" s="4"/>
    </row>
    <row r="3" spans="1:4" ht="18.75" customHeight="1" thickBot="1" x14ac:dyDescent="0.3">
      <c r="A3" s="4">
        <v>1</v>
      </c>
      <c r="B3" s="8"/>
      <c r="C3" s="70" t="s">
        <v>289</v>
      </c>
      <c r="D3" s="4"/>
    </row>
    <row r="4" spans="1:4" ht="17.25" customHeight="1" thickBot="1" x14ac:dyDescent="0.3">
      <c r="A4" s="4">
        <v>2</v>
      </c>
      <c r="B4" s="8"/>
      <c r="C4" s="70" t="s">
        <v>290</v>
      </c>
      <c r="D4" s="4"/>
    </row>
    <row r="5" spans="1:4" ht="30.75" thickBot="1" x14ac:dyDescent="0.3">
      <c r="A5" s="4">
        <v>3</v>
      </c>
      <c r="B5" s="8"/>
      <c r="C5" s="70" t="s">
        <v>291</v>
      </c>
      <c r="D5" s="4"/>
    </row>
    <row r="6" spans="1:4" ht="30.75" thickBot="1" x14ac:dyDescent="0.3">
      <c r="A6" s="4">
        <v>4</v>
      </c>
      <c r="B6" s="8"/>
      <c r="C6" s="70" t="s">
        <v>292</v>
      </c>
      <c r="D6" s="4"/>
    </row>
    <row r="7" spans="1:4" ht="18.75" customHeight="1" thickBot="1" x14ac:dyDescent="0.3">
      <c r="A7" s="4">
        <v>5</v>
      </c>
      <c r="B7" s="8"/>
      <c r="C7" s="70" t="s">
        <v>293</v>
      </c>
      <c r="D7" s="4"/>
    </row>
    <row r="8" spans="1:4" ht="15.75" thickBot="1" x14ac:dyDescent="0.3">
      <c r="A8" s="4">
        <v>6</v>
      </c>
      <c r="B8" s="8"/>
      <c r="C8" s="70" t="s">
        <v>294</v>
      </c>
      <c r="D8" s="4"/>
    </row>
    <row r="9" spans="1:4" ht="15.75" customHeight="1" thickBot="1" x14ac:dyDescent="0.3">
      <c r="A9" s="4"/>
      <c r="B9" s="8"/>
      <c r="C9" s="70" t="s">
        <v>295</v>
      </c>
      <c r="D9" s="4"/>
    </row>
    <row r="10" spans="1:4" ht="21" customHeight="1" thickBot="1" x14ac:dyDescent="0.3">
      <c r="A10" s="68">
        <v>5</v>
      </c>
      <c r="B10" s="130"/>
      <c r="C10" s="71" t="s">
        <v>296</v>
      </c>
    </row>
    <row r="11" spans="1:4" ht="25.15" customHeight="1" thickBot="1" x14ac:dyDescent="0.3">
      <c r="A11" s="68">
        <v>6</v>
      </c>
      <c r="B11" s="130"/>
      <c r="C11" s="71" t="s">
        <v>297</v>
      </c>
    </row>
    <row r="12" spans="1:4" ht="25.15" customHeight="1" thickBot="1" x14ac:dyDescent="0.3">
      <c r="A12" s="68">
        <v>7</v>
      </c>
      <c r="B12" s="130"/>
      <c r="C12" s="71" t="s">
        <v>298</v>
      </c>
    </row>
    <row r="13" spans="1:4" ht="19.5" thickBot="1" x14ac:dyDescent="0.3">
      <c r="A13" s="4"/>
      <c r="B13" s="8"/>
      <c r="C13" s="72" t="s">
        <v>278</v>
      </c>
      <c r="D13" s="73" t="s">
        <v>279</v>
      </c>
    </row>
    <row r="14" spans="1:4" ht="30.75" thickBot="1" x14ac:dyDescent="0.3">
      <c r="A14" s="4">
        <v>1</v>
      </c>
      <c r="B14" s="8"/>
      <c r="C14" s="70" t="s">
        <v>335</v>
      </c>
      <c r="D14" s="74" t="s">
        <v>286</v>
      </c>
    </row>
    <row r="15" spans="1:4" ht="30.75" thickBot="1" x14ac:dyDescent="0.3">
      <c r="A15" s="4">
        <v>2</v>
      </c>
      <c r="B15" s="8"/>
      <c r="C15" s="70" t="s">
        <v>299</v>
      </c>
      <c r="D15" s="75" t="s">
        <v>280</v>
      </c>
    </row>
    <row r="16" spans="1:4" ht="30.75" thickBot="1" x14ac:dyDescent="0.3">
      <c r="A16" s="4">
        <v>3</v>
      </c>
      <c r="B16" s="8"/>
      <c r="C16" s="70" t="s">
        <v>300</v>
      </c>
      <c r="D16" s="74" t="s">
        <v>281</v>
      </c>
    </row>
    <row r="18" spans="3:3" x14ac:dyDescent="0.25">
      <c r="C18" s="61" t="s">
        <v>282</v>
      </c>
    </row>
    <row r="19" spans="3:3" x14ac:dyDescent="0.25">
      <c r="C19" s="12" t="s">
        <v>287</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49BE-534C-4840-BD0A-C6F3ED057644}">
  <dimension ref="A1:U48"/>
  <sheetViews>
    <sheetView topLeftCell="C19" zoomScale="106" zoomScaleNormal="106" workbookViewId="0">
      <selection activeCell="I26" sqref="I26:N30"/>
    </sheetView>
  </sheetViews>
  <sheetFormatPr defaultRowHeight="15" x14ac:dyDescent="0.25"/>
  <cols>
    <col min="1" max="1" width="9.140625" hidden="1" customWidth="1"/>
    <col min="2" max="2" width="33" customWidth="1"/>
    <col min="3" max="3" width="19.28515625" customWidth="1"/>
    <col min="4" max="4" width="19.7109375" customWidth="1"/>
    <col min="5" max="5" width="21.42578125" customWidth="1"/>
    <col min="6" max="6" width="15.85546875" customWidth="1"/>
    <col min="7" max="7" width="12.140625" customWidth="1"/>
    <col min="8" max="8" width="5.42578125" style="106" customWidth="1"/>
    <col min="9" max="9" width="30.28515625" customWidth="1"/>
    <col min="10" max="10" width="7.140625" customWidth="1"/>
    <col min="11" max="11" width="8" customWidth="1"/>
    <col min="12" max="12" width="13.140625" customWidth="1"/>
    <col min="13" max="13" width="6.42578125" customWidth="1"/>
    <col min="14" max="14" width="16.28515625" customWidth="1"/>
    <col min="15" max="15" width="12.5703125" customWidth="1"/>
  </cols>
  <sheetData>
    <row r="1" spans="2:21" ht="15.75" thickBot="1" x14ac:dyDescent="0.3"/>
    <row r="2" spans="2:21" ht="21" thickBot="1" x14ac:dyDescent="0.3">
      <c r="B2" s="76" t="s">
        <v>303</v>
      </c>
      <c r="C2" s="76" t="s">
        <v>251</v>
      </c>
      <c r="D2" s="76" t="s">
        <v>249</v>
      </c>
      <c r="I2" s="141"/>
      <c r="J2" s="142"/>
      <c r="K2" s="143"/>
      <c r="L2" s="143"/>
      <c r="M2" s="143"/>
      <c r="N2" s="142"/>
      <c r="O2" s="12"/>
      <c r="T2" s="5" t="s">
        <v>188</v>
      </c>
      <c r="U2" s="5">
        <v>400</v>
      </c>
    </row>
    <row r="3" spans="2:21" ht="18.75" thickBot="1" x14ac:dyDescent="0.3">
      <c r="B3" s="77" t="s">
        <v>304</v>
      </c>
      <c r="C3" s="77"/>
      <c r="D3" s="78">
        <v>84800</v>
      </c>
      <c r="I3" s="8"/>
      <c r="J3" s="140"/>
      <c r="K3" s="140"/>
      <c r="L3" s="140"/>
      <c r="M3" s="140"/>
      <c r="N3" s="140"/>
      <c r="T3" s="6"/>
      <c r="U3" s="7">
        <f>SUM(U2:U2)</f>
        <v>400</v>
      </c>
    </row>
    <row r="4" spans="2:21" ht="18.75" thickBot="1" x14ac:dyDescent="0.3">
      <c r="B4" s="77" t="s">
        <v>305</v>
      </c>
      <c r="C4" s="77"/>
      <c r="D4" s="78">
        <v>34590</v>
      </c>
      <c r="I4" s="8"/>
      <c r="J4" s="140"/>
      <c r="K4" s="140"/>
      <c r="L4" s="140"/>
      <c r="M4" s="140"/>
      <c r="N4" s="140"/>
    </row>
    <row r="5" spans="2:21" ht="18.75" thickBot="1" x14ac:dyDescent="0.3">
      <c r="B5" s="77" t="s">
        <v>248</v>
      </c>
      <c r="C5" s="79">
        <v>4830</v>
      </c>
      <c r="D5" s="78">
        <v>483000</v>
      </c>
      <c r="I5" s="8"/>
      <c r="J5" s="140"/>
      <c r="K5" s="140"/>
      <c r="L5" s="140"/>
      <c r="M5" s="140"/>
      <c r="N5" s="140"/>
    </row>
    <row r="6" spans="2:21" ht="18.75" thickBot="1" x14ac:dyDescent="0.3">
      <c r="B6" s="77" t="s">
        <v>244</v>
      </c>
      <c r="C6" s="79">
        <v>1280</v>
      </c>
      <c r="D6" s="78">
        <v>96000</v>
      </c>
      <c r="I6" s="8"/>
      <c r="J6" s="140"/>
      <c r="K6" s="140"/>
      <c r="L6" s="140"/>
      <c r="M6" s="140"/>
      <c r="N6" s="140"/>
    </row>
    <row r="7" spans="2:21" ht="18.75" thickBot="1" x14ac:dyDescent="0.3">
      <c r="B7" s="77" t="s">
        <v>306</v>
      </c>
      <c r="C7" s="79">
        <v>640</v>
      </c>
      <c r="D7" s="78">
        <v>91520</v>
      </c>
      <c r="I7" s="8"/>
      <c r="J7" s="140"/>
      <c r="K7" s="140"/>
      <c r="L7" s="140"/>
      <c r="M7" s="140"/>
      <c r="N7" s="140"/>
    </row>
    <row r="8" spans="2:21" ht="18.75" thickBot="1" x14ac:dyDescent="0.3">
      <c r="B8" s="77" t="s">
        <v>307</v>
      </c>
      <c r="C8" s="79">
        <v>1350</v>
      </c>
      <c r="D8" s="78">
        <v>108000</v>
      </c>
      <c r="I8" s="8"/>
      <c r="J8" s="140"/>
      <c r="K8" s="140"/>
      <c r="L8" s="140"/>
      <c r="M8" s="140"/>
      <c r="N8" s="140"/>
    </row>
    <row r="9" spans="2:21" ht="18.75" thickBot="1" x14ac:dyDescent="0.3">
      <c r="B9" s="77" t="s">
        <v>308</v>
      </c>
      <c r="C9" s="79">
        <v>400</v>
      </c>
      <c r="D9" s="78">
        <v>42800</v>
      </c>
      <c r="I9" s="51"/>
      <c r="J9" s="140"/>
      <c r="K9" s="140"/>
      <c r="L9" s="140"/>
      <c r="M9" s="140"/>
      <c r="N9" s="140"/>
    </row>
    <row r="10" spans="2:21" ht="18.75" thickBot="1" x14ac:dyDescent="0.3">
      <c r="B10" s="77" t="s">
        <v>232</v>
      </c>
      <c r="C10" s="79">
        <v>400</v>
      </c>
      <c r="D10" s="78">
        <v>40000</v>
      </c>
    </row>
    <row r="11" spans="2:21" ht="18.75" thickBot="1" x14ac:dyDescent="0.3">
      <c r="B11" s="77" t="s">
        <v>309</v>
      </c>
      <c r="C11" s="79"/>
      <c r="D11" s="78">
        <v>35210</v>
      </c>
      <c r="I11" s="24" t="s">
        <v>277</v>
      </c>
      <c r="J11" s="14" t="s">
        <v>235</v>
      </c>
      <c r="K11" s="14" t="s">
        <v>221</v>
      </c>
      <c r="L11" s="4" t="s">
        <v>236</v>
      </c>
    </row>
    <row r="12" spans="2:21" ht="18.75" thickBot="1" x14ac:dyDescent="0.3">
      <c r="B12" s="77" t="s">
        <v>310</v>
      </c>
      <c r="C12" s="79">
        <v>272</v>
      </c>
      <c r="D12" s="78">
        <v>32826</v>
      </c>
      <c r="I12" s="18" t="s">
        <v>240</v>
      </c>
      <c r="J12" s="4">
        <v>280</v>
      </c>
      <c r="K12" s="4">
        <v>98</v>
      </c>
      <c r="L12" s="4">
        <f>J12*K12</f>
        <v>27440</v>
      </c>
    </row>
    <row r="13" spans="2:21" ht="21" thickBot="1" x14ac:dyDescent="0.3">
      <c r="B13" s="80"/>
      <c r="C13" s="81"/>
      <c r="D13" s="82">
        <v>1048746</v>
      </c>
      <c r="I13" s="18" t="s">
        <v>241</v>
      </c>
      <c r="J13" s="4">
        <v>70</v>
      </c>
      <c r="K13" s="4">
        <v>111</v>
      </c>
      <c r="L13" s="4">
        <f>J13*K13</f>
        <v>7770</v>
      </c>
    </row>
    <row r="14" spans="2:21" ht="15.75" thickBot="1" x14ac:dyDescent="0.3">
      <c r="I14" s="64" t="s">
        <v>271</v>
      </c>
      <c r="J14" s="63">
        <v>90</v>
      </c>
      <c r="K14" s="63">
        <v>107</v>
      </c>
      <c r="L14" s="63">
        <f t="shared" ref="L14:L19" si="0">J14*K14</f>
        <v>9630</v>
      </c>
    </row>
    <row r="15" spans="2:21" ht="18.75" thickBot="1" x14ac:dyDescent="0.3">
      <c r="B15" s="103" t="s">
        <v>318</v>
      </c>
      <c r="C15" s="104"/>
      <c r="D15" s="104"/>
      <c r="E15" s="104"/>
      <c r="F15" s="104"/>
      <c r="G15" s="105"/>
      <c r="H15" s="127"/>
      <c r="I15" s="62" t="s">
        <v>272</v>
      </c>
      <c r="J15" s="63">
        <v>420</v>
      </c>
      <c r="K15" s="63">
        <v>111</v>
      </c>
      <c r="L15" s="63">
        <f t="shared" si="0"/>
        <v>46620</v>
      </c>
    </row>
    <row r="16" spans="2:21" ht="26.25" thickTop="1" x14ac:dyDescent="0.25">
      <c r="B16" s="120"/>
      <c r="C16" s="125" t="s">
        <v>319</v>
      </c>
      <c r="D16" s="122" t="s">
        <v>320</v>
      </c>
      <c r="E16" s="122" t="s">
        <v>321</v>
      </c>
      <c r="F16" s="111" t="s">
        <v>322</v>
      </c>
      <c r="G16" s="125" t="s">
        <v>249</v>
      </c>
      <c r="H16" s="128"/>
      <c r="I16" s="62" t="s">
        <v>273</v>
      </c>
      <c r="J16" s="63">
        <v>90</v>
      </c>
      <c r="K16" s="63">
        <v>138</v>
      </c>
      <c r="L16" s="63">
        <f t="shared" si="0"/>
        <v>12420</v>
      </c>
    </row>
    <row r="17" spans="2:14" ht="57" thickBot="1" x14ac:dyDescent="0.3">
      <c r="B17" s="121"/>
      <c r="C17" s="126"/>
      <c r="D17" s="123"/>
      <c r="E17" s="123"/>
      <c r="F17" s="124" t="s">
        <v>323</v>
      </c>
      <c r="G17" s="126"/>
      <c r="H17" s="128"/>
      <c r="I17" s="62" t="s">
        <v>274</v>
      </c>
      <c r="J17" s="63">
        <v>90</v>
      </c>
      <c r="K17" s="63">
        <v>138</v>
      </c>
      <c r="L17" s="63">
        <f t="shared" si="0"/>
        <v>12420</v>
      </c>
    </row>
    <row r="18" spans="2:14" ht="15.75" thickBot="1" x14ac:dyDescent="0.3">
      <c r="B18" s="99" t="s">
        <v>263</v>
      </c>
      <c r="C18" s="112">
        <v>200</v>
      </c>
      <c r="D18" s="112" t="s">
        <v>324</v>
      </c>
      <c r="E18" s="112" t="s">
        <v>325</v>
      </c>
      <c r="F18" s="113">
        <v>34590</v>
      </c>
      <c r="G18" s="99" t="s">
        <v>326</v>
      </c>
      <c r="H18" s="108"/>
      <c r="I18" s="62" t="s">
        <v>275</v>
      </c>
      <c r="J18" s="63">
        <v>40</v>
      </c>
      <c r="K18" s="63">
        <v>107</v>
      </c>
      <c r="L18" s="63">
        <f t="shared" si="0"/>
        <v>4280</v>
      </c>
    </row>
    <row r="19" spans="2:14" ht="24" thickBot="1" x14ac:dyDescent="0.3">
      <c r="B19" s="101" t="s">
        <v>265</v>
      </c>
      <c r="C19" s="114">
        <v>210</v>
      </c>
      <c r="D19" s="114" t="s">
        <v>327</v>
      </c>
      <c r="E19" s="114" t="s">
        <v>328</v>
      </c>
      <c r="F19" s="115">
        <v>36320</v>
      </c>
      <c r="G19" s="116"/>
      <c r="H19" s="129"/>
      <c r="I19" s="62" t="s">
        <v>276</v>
      </c>
      <c r="J19" s="62">
        <v>90</v>
      </c>
      <c r="K19" s="62">
        <v>143</v>
      </c>
      <c r="L19" s="62">
        <f t="shared" si="0"/>
        <v>12870</v>
      </c>
    </row>
    <row r="20" spans="2:14" ht="24" thickBot="1" x14ac:dyDescent="0.35">
      <c r="B20" s="99" t="s">
        <v>266</v>
      </c>
      <c r="C20" s="112">
        <v>222</v>
      </c>
      <c r="D20" s="112" t="s">
        <v>329</v>
      </c>
      <c r="E20" s="112" t="s">
        <v>330</v>
      </c>
      <c r="F20" s="117"/>
      <c r="G20" s="118"/>
      <c r="H20" s="129"/>
      <c r="L20" s="48">
        <v>35210</v>
      </c>
    </row>
    <row r="21" spans="2:14" ht="24" thickBot="1" x14ac:dyDescent="0.3">
      <c r="B21" s="101" t="s">
        <v>267</v>
      </c>
      <c r="C21" s="114">
        <v>233</v>
      </c>
      <c r="D21" s="114" t="s">
        <v>331</v>
      </c>
      <c r="E21" s="114" t="s">
        <v>332</v>
      </c>
      <c r="F21" s="119"/>
      <c r="G21" s="116"/>
      <c r="H21" s="129"/>
      <c r="I21" s="25" t="s">
        <v>238</v>
      </c>
      <c r="J21" s="14" t="s">
        <v>235</v>
      </c>
      <c r="K21" s="14" t="s">
        <v>221</v>
      </c>
      <c r="L21" s="4" t="s">
        <v>236</v>
      </c>
    </row>
    <row r="22" spans="2:14" ht="24" thickBot="1" x14ac:dyDescent="0.3">
      <c r="B22" s="99" t="s">
        <v>268</v>
      </c>
      <c r="C22" s="112">
        <v>245</v>
      </c>
      <c r="D22" s="112" t="s">
        <v>333</v>
      </c>
      <c r="E22" s="112" t="s">
        <v>334</v>
      </c>
      <c r="F22" s="117"/>
      <c r="G22" s="118"/>
      <c r="H22" s="129"/>
      <c r="I22" s="4" t="s">
        <v>233</v>
      </c>
      <c r="J22" s="4">
        <v>132</v>
      </c>
      <c r="K22" s="4">
        <v>168</v>
      </c>
      <c r="L22" s="4">
        <f>J22*K22</f>
        <v>22176</v>
      </c>
    </row>
    <row r="23" spans="2:14" x14ac:dyDescent="0.25">
      <c r="I23" s="4" t="s">
        <v>234</v>
      </c>
      <c r="J23" s="4">
        <v>150</v>
      </c>
      <c r="K23" s="4">
        <v>71</v>
      </c>
      <c r="L23" s="4">
        <f>J23*K23</f>
        <v>10650</v>
      </c>
    </row>
    <row r="24" spans="2:14" x14ac:dyDescent="0.25">
      <c r="I24" s="22" t="s">
        <v>236</v>
      </c>
      <c r="J24" s="4"/>
      <c r="K24" s="4"/>
      <c r="L24" s="4">
        <f>SUM(L22:L23)</f>
        <v>32826</v>
      </c>
    </row>
    <row r="25" spans="2:14" ht="15.75" thickBot="1" x14ac:dyDescent="0.3"/>
    <row r="26" spans="2:14" ht="30.75" thickBot="1" x14ac:dyDescent="0.3">
      <c r="I26" s="131" t="s">
        <v>237</v>
      </c>
      <c r="J26" s="132" t="s">
        <v>221</v>
      </c>
      <c r="K26" s="132" t="s">
        <v>301</v>
      </c>
      <c r="L26" s="133" t="s">
        <v>302</v>
      </c>
      <c r="M26" s="133" t="s">
        <v>221</v>
      </c>
      <c r="N26" s="132" t="s">
        <v>236</v>
      </c>
    </row>
    <row r="27" spans="2:14" ht="48" thickBot="1" x14ac:dyDescent="0.3">
      <c r="I27" s="134" t="s">
        <v>336</v>
      </c>
      <c r="J27" s="135">
        <v>73</v>
      </c>
      <c r="K27" s="135">
        <v>1580</v>
      </c>
      <c r="L27" s="135">
        <v>1800</v>
      </c>
      <c r="M27" s="135">
        <v>23.12</v>
      </c>
      <c r="N27" s="136" t="s">
        <v>337</v>
      </c>
    </row>
    <row r="28" spans="2:14" ht="16.5" thickBot="1" x14ac:dyDescent="0.3">
      <c r="I28" s="137" t="s">
        <v>223</v>
      </c>
      <c r="J28" s="135">
        <v>85</v>
      </c>
      <c r="K28" s="135">
        <v>120</v>
      </c>
      <c r="L28" s="135">
        <v>495</v>
      </c>
      <c r="M28" s="135">
        <v>23.12</v>
      </c>
      <c r="N28" s="136" t="s">
        <v>338</v>
      </c>
    </row>
    <row r="29" spans="2:14" ht="16.5" thickBot="1" x14ac:dyDescent="0.3">
      <c r="I29" s="137" t="s">
        <v>224</v>
      </c>
      <c r="J29" s="135">
        <v>111</v>
      </c>
      <c r="K29" s="135">
        <v>240</v>
      </c>
      <c r="L29" s="135">
        <v>0</v>
      </c>
      <c r="M29" s="135">
        <v>0</v>
      </c>
      <c r="N29" s="136" t="s">
        <v>339</v>
      </c>
    </row>
    <row r="30" spans="2:14" ht="15.75" thickBot="1" x14ac:dyDescent="0.3">
      <c r="I30" s="138" t="s">
        <v>236</v>
      </c>
      <c r="J30" s="135"/>
      <c r="K30" s="135"/>
      <c r="L30" s="135"/>
      <c r="M30" s="135"/>
      <c r="N30" s="135" t="s">
        <v>340</v>
      </c>
    </row>
    <row r="31" spans="2:14" ht="15.75" x14ac:dyDescent="0.25">
      <c r="I31" s="139"/>
    </row>
    <row r="33" spans="2:5" ht="15.75" x14ac:dyDescent="0.25">
      <c r="B33" s="29" t="s">
        <v>250</v>
      </c>
      <c r="C33" s="29" t="s">
        <v>251</v>
      </c>
      <c r="D33" s="29" t="s">
        <v>221</v>
      </c>
      <c r="E33" s="29" t="s">
        <v>249</v>
      </c>
    </row>
    <row r="34" spans="2:5" ht="21" x14ac:dyDescent="0.35">
      <c r="B34" s="46" t="s">
        <v>248</v>
      </c>
      <c r="C34" s="47">
        <v>4830</v>
      </c>
      <c r="D34" s="47">
        <v>100</v>
      </c>
      <c r="E34" s="47">
        <f t="shared" ref="E34:E39" si="1">C34*D34</f>
        <v>483000</v>
      </c>
    </row>
    <row r="35" spans="2:5" ht="21" x14ac:dyDescent="0.35">
      <c r="B35" s="41" t="s">
        <v>244</v>
      </c>
      <c r="C35" s="43">
        <v>960</v>
      </c>
      <c r="D35" s="43">
        <v>75</v>
      </c>
      <c r="E35" s="43">
        <f t="shared" si="1"/>
        <v>72000</v>
      </c>
    </row>
    <row r="36" spans="2:5" ht="21" x14ac:dyDescent="0.35">
      <c r="B36" s="46" t="s">
        <v>245</v>
      </c>
      <c r="C36" s="47">
        <v>480</v>
      </c>
      <c r="D36" s="47">
        <v>143</v>
      </c>
      <c r="E36" s="47">
        <f t="shared" si="1"/>
        <v>68640</v>
      </c>
    </row>
    <row r="37" spans="2:5" ht="21" x14ac:dyDescent="0.35">
      <c r="B37" s="55" t="s">
        <v>237</v>
      </c>
      <c r="C37" s="43">
        <v>1350</v>
      </c>
      <c r="D37" s="43">
        <v>80</v>
      </c>
      <c r="E37" s="43">
        <f t="shared" si="1"/>
        <v>108000</v>
      </c>
    </row>
    <row r="38" spans="2:5" ht="21" x14ac:dyDescent="0.35">
      <c r="B38" s="46" t="s">
        <v>246</v>
      </c>
      <c r="C38" s="47">
        <v>400</v>
      </c>
      <c r="D38" s="48">
        <v>107</v>
      </c>
      <c r="E38" s="47">
        <f t="shared" si="1"/>
        <v>42800</v>
      </c>
    </row>
    <row r="39" spans="2:5" ht="21" x14ac:dyDescent="0.35">
      <c r="B39" s="41" t="s">
        <v>232</v>
      </c>
      <c r="C39" s="43">
        <v>400</v>
      </c>
      <c r="D39" s="43">
        <v>100</v>
      </c>
      <c r="E39" s="43">
        <f t="shared" si="1"/>
        <v>40000</v>
      </c>
    </row>
    <row r="40" spans="2:5" ht="21" x14ac:dyDescent="0.35">
      <c r="B40" s="56" t="s">
        <v>242</v>
      </c>
      <c r="C40" s="47"/>
      <c r="D40" s="48"/>
      <c r="E40" s="48">
        <v>35210</v>
      </c>
    </row>
    <row r="41" spans="2:5" ht="21" x14ac:dyDescent="0.35">
      <c r="B41" s="57" t="s">
        <v>238</v>
      </c>
      <c r="C41" s="43">
        <v>272</v>
      </c>
      <c r="D41" s="43"/>
      <c r="E41" s="43">
        <v>32826</v>
      </c>
    </row>
    <row r="42" spans="2:5" ht="21" x14ac:dyDescent="0.35">
      <c r="B42" s="28"/>
      <c r="C42" s="49">
        <f ca="1">SUM(C34:C45)</f>
        <v>9012</v>
      </c>
      <c r="D42" s="49"/>
      <c r="E42" s="49">
        <f>SUM(E34:E41)</f>
        <v>882476</v>
      </c>
    </row>
    <row r="43" spans="2:5" ht="18.75" x14ac:dyDescent="0.3">
      <c r="B43" s="16"/>
      <c r="C43" s="53"/>
      <c r="D43" s="53"/>
      <c r="E43" s="53"/>
    </row>
    <row r="44" spans="2:5" ht="18.75" x14ac:dyDescent="0.25">
      <c r="B44" s="31" t="s">
        <v>255</v>
      </c>
      <c r="C44" s="54" t="s">
        <v>254</v>
      </c>
      <c r="D44" s="54" t="s">
        <v>252</v>
      </c>
      <c r="E44" s="54" t="s">
        <v>253</v>
      </c>
    </row>
    <row r="45" spans="2:5" ht="21" x14ac:dyDescent="0.35">
      <c r="B45" s="39" t="s">
        <v>283</v>
      </c>
      <c r="C45" s="43"/>
      <c r="D45" s="43"/>
      <c r="E45" s="43">
        <f>C45*D45</f>
        <v>0</v>
      </c>
    </row>
    <row r="46" spans="2:5" ht="21" x14ac:dyDescent="0.35">
      <c r="B46" s="65" t="s">
        <v>284</v>
      </c>
      <c r="E46">
        <v>0</v>
      </c>
    </row>
    <row r="47" spans="2:5" ht="21" x14ac:dyDescent="0.35">
      <c r="B47" s="66" t="s">
        <v>256</v>
      </c>
      <c r="C47" s="43"/>
      <c r="D47" s="43"/>
      <c r="E47" s="43">
        <f>C47*D47</f>
        <v>0</v>
      </c>
    </row>
    <row r="48" spans="2:5" ht="21" x14ac:dyDescent="0.35">
      <c r="B48" s="65" t="s">
        <v>285</v>
      </c>
      <c r="E48" s="43">
        <f>C48*D48</f>
        <v>0</v>
      </c>
    </row>
  </sheetData>
  <mergeCells count="6">
    <mergeCell ref="B15:G15"/>
    <mergeCell ref="B16:B17"/>
    <mergeCell ref="C16:C17"/>
    <mergeCell ref="D16:D17"/>
    <mergeCell ref="E16:E17"/>
    <mergeCell ref="G16:G17"/>
  </mergeCells>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BEDD-C98C-44B6-8103-63294B2BA6E7}">
  <dimension ref="B2:E8"/>
  <sheetViews>
    <sheetView workbookViewId="0">
      <selection activeCell="B13" sqref="B13"/>
    </sheetView>
  </sheetViews>
  <sheetFormatPr defaultRowHeight="15" x14ac:dyDescent="0.25"/>
  <cols>
    <col min="2" max="2" width="34.5703125" customWidth="1"/>
    <col min="3" max="3" width="26.140625" style="60" customWidth="1"/>
    <col min="4" max="4" width="0" hidden="1" customWidth="1"/>
    <col min="5" max="5" width="20.42578125" hidden="1" customWidth="1"/>
  </cols>
  <sheetData>
    <row r="2" spans="2:5" x14ac:dyDescent="0.25">
      <c r="B2" s="23" t="s">
        <v>237</v>
      </c>
      <c r="C2" s="58" t="s">
        <v>235</v>
      </c>
      <c r="D2" s="14" t="s">
        <v>221</v>
      </c>
      <c r="E2" s="4" t="s">
        <v>236</v>
      </c>
    </row>
    <row r="3" spans="2:5" x14ac:dyDescent="0.25">
      <c r="B3" s="4" t="s">
        <v>222</v>
      </c>
      <c r="C3" s="20">
        <v>900</v>
      </c>
      <c r="D3" s="4">
        <v>58</v>
      </c>
      <c r="E3" s="4">
        <f>C3*D3</f>
        <v>52200</v>
      </c>
    </row>
    <row r="4" spans="2:5" x14ac:dyDescent="0.25">
      <c r="B4" s="4" t="s">
        <v>223</v>
      </c>
      <c r="C4" s="20">
        <v>150</v>
      </c>
      <c r="D4" s="4">
        <v>84</v>
      </c>
      <c r="E4" s="4">
        <f t="shared" ref="E4:E7" si="0">C4*D4</f>
        <v>12600</v>
      </c>
    </row>
    <row r="5" spans="2:5" x14ac:dyDescent="0.25">
      <c r="B5" s="4" t="s">
        <v>224</v>
      </c>
      <c r="C5" s="20">
        <v>240</v>
      </c>
      <c r="D5" s="4">
        <v>111</v>
      </c>
      <c r="E5" s="4">
        <f t="shared" si="0"/>
        <v>26640</v>
      </c>
    </row>
    <row r="6" spans="2:5" x14ac:dyDescent="0.25">
      <c r="B6" s="4" t="s">
        <v>225</v>
      </c>
      <c r="C6" s="20">
        <v>90</v>
      </c>
      <c r="D6" s="4">
        <v>104</v>
      </c>
      <c r="E6" s="4">
        <f t="shared" si="0"/>
        <v>9360</v>
      </c>
    </row>
    <row r="7" spans="2:5" x14ac:dyDescent="0.25">
      <c r="B7" s="4" t="s">
        <v>226</v>
      </c>
      <c r="C7" s="20">
        <v>120</v>
      </c>
      <c r="D7" s="4">
        <v>60</v>
      </c>
      <c r="E7" s="4">
        <f t="shared" si="0"/>
        <v>7200</v>
      </c>
    </row>
    <row r="8" spans="2:5" x14ac:dyDescent="0.25">
      <c r="B8" s="22"/>
      <c r="C8" s="59"/>
      <c r="D8" s="26"/>
      <c r="E8" s="4">
        <f>SUM(E3:E7)</f>
        <v>108000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BD7A-3C6C-4EFA-86B8-D977A61497BE}">
  <dimension ref="A1:T62"/>
  <sheetViews>
    <sheetView tabSelected="1" topLeftCell="C1" zoomScaleNormal="100" workbookViewId="0">
      <selection activeCell="I7" sqref="I7"/>
    </sheetView>
  </sheetViews>
  <sheetFormatPr defaultRowHeight="15" x14ac:dyDescent="0.25"/>
  <cols>
    <col min="1" max="1" width="9.140625" hidden="1" customWidth="1"/>
    <col min="2" max="2" width="44" customWidth="1"/>
    <col min="3" max="3" width="12.85546875" customWidth="1"/>
    <col min="4" max="4" width="13.7109375" customWidth="1"/>
    <col min="5" max="5" width="21.42578125" customWidth="1"/>
    <col min="6" max="6" width="18" customWidth="1"/>
    <col min="7" max="7" width="1.85546875" style="106" customWidth="1"/>
    <col min="8" max="8" width="25.140625" customWidth="1"/>
    <col min="9" max="9" width="10.28515625" customWidth="1"/>
    <col min="11" max="11" width="14.28515625" customWidth="1"/>
    <col min="12" max="13" width="16.28515625" customWidth="1"/>
    <col min="14" max="14" width="12.5703125" customWidth="1"/>
  </cols>
  <sheetData>
    <row r="1" spans="2:20" ht="15.75" thickBot="1" x14ac:dyDescent="0.3"/>
    <row r="2" spans="2:20" ht="30.75" thickBot="1" x14ac:dyDescent="0.3">
      <c r="B2" s="83" t="s">
        <v>250</v>
      </c>
      <c r="C2" s="83" t="s">
        <v>251</v>
      </c>
      <c r="D2" s="83" t="s">
        <v>221</v>
      </c>
      <c r="E2" s="83" t="s">
        <v>249</v>
      </c>
      <c r="H2" s="131" t="s">
        <v>237</v>
      </c>
      <c r="I2" s="132" t="s">
        <v>221</v>
      </c>
      <c r="J2" s="132" t="s">
        <v>301</v>
      </c>
      <c r="K2" s="133" t="s">
        <v>302</v>
      </c>
      <c r="L2" s="133" t="s">
        <v>221</v>
      </c>
      <c r="M2" s="132" t="s">
        <v>236</v>
      </c>
      <c r="N2" s="12"/>
      <c r="S2" s="5" t="s">
        <v>188</v>
      </c>
      <c r="T2" s="5">
        <v>400</v>
      </c>
    </row>
    <row r="3" spans="2:20" ht="48" thickBot="1" x14ac:dyDescent="0.4">
      <c r="B3" s="84" t="s">
        <v>248</v>
      </c>
      <c r="C3" s="85">
        <v>5000</v>
      </c>
      <c r="D3" s="85">
        <v>100</v>
      </c>
      <c r="E3" s="85">
        <v>500000</v>
      </c>
      <c r="H3" s="134" t="s">
        <v>336</v>
      </c>
      <c r="I3" s="135">
        <v>73</v>
      </c>
      <c r="J3" s="135">
        <v>1580</v>
      </c>
      <c r="K3" s="135">
        <v>1800</v>
      </c>
      <c r="L3" s="135">
        <v>23.12</v>
      </c>
      <c r="M3" s="136" t="s">
        <v>337</v>
      </c>
      <c r="S3" s="6"/>
      <c r="T3" s="7">
        <f>SUM(T2:T2)</f>
        <v>400</v>
      </c>
    </row>
    <row r="4" spans="2:20" ht="21.75" thickBot="1" x14ac:dyDescent="0.4">
      <c r="B4" s="86" t="s">
        <v>244</v>
      </c>
      <c r="C4" s="87">
        <v>1280</v>
      </c>
      <c r="D4" s="87">
        <v>75</v>
      </c>
      <c r="E4" s="87">
        <v>72000</v>
      </c>
      <c r="H4" s="137" t="s">
        <v>223</v>
      </c>
      <c r="I4" s="135">
        <v>85</v>
      </c>
      <c r="J4" s="135">
        <v>120</v>
      </c>
      <c r="K4" s="135">
        <v>495</v>
      </c>
      <c r="L4" s="135">
        <v>23.12</v>
      </c>
      <c r="M4" s="136" t="s">
        <v>338</v>
      </c>
    </row>
    <row r="5" spans="2:20" ht="21" x14ac:dyDescent="0.35">
      <c r="B5" s="84" t="s">
        <v>245</v>
      </c>
      <c r="C5" s="85">
        <v>640</v>
      </c>
      <c r="D5" s="85">
        <v>143</v>
      </c>
      <c r="E5" s="85">
        <v>91520</v>
      </c>
      <c r="H5" s="145" t="s">
        <v>224</v>
      </c>
      <c r="I5" s="144">
        <v>111</v>
      </c>
      <c r="J5" s="144">
        <v>240</v>
      </c>
      <c r="K5" s="144">
        <v>0</v>
      </c>
      <c r="L5" s="144">
        <v>0</v>
      </c>
      <c r="M5" s="146" t="s">
        <v>339</v>
      </c>
    </row>
    <row r="6" spans="2:20" ht="21" x14ac:dyDescent="0.35">
      <c r="B6" s="88" t="s">
        <v>237</v>
      </c>
      <c r="C6" s="87">
        <v>1350</v>
      </c>
      <c r="D6" s="87">
        <v>80</v>
      </c>
      <c r="E6" s="87">
        <v>108000</v>
      </c>
      <c r="H6" s="147" t="s">
        <v>236</v>
      </c>
      <c r="I6" s="148"/>
      <c r="J6" s="148"/>
      <c r="K6" s="148"/>
      <c r="L6" s="148"/>
      <c r="M6" s="148" t="s">
        <v>340</v>
      </c>
    </row>
    <row r="7" spans="2:20" ht="21" x14ac:dyDescent="0.35">
      <c r="B7" s="84" t="s">
        <v>246</v>
      </c>
      <c r="C7" s="85">
        <v>400</v>
      </c>
      <c r="D7" s="85">
        <v>107</v>
      </c>
      <c r="E7" s="85">
        <v>42800</v>
      </c>
      <c r="H7" s="8"/>
      <c r="I7" s="140"/>
      <c r="J7" s="140"/>
      <c r="K7" s="140"/>
      <c r="L7" s="140"/>
      <c r="M7" s="140"/>
    </row>
    <row r="8" spans="2:20" ht="21" x14ac:dyDescent="0.35">
      <c r="B8" s="86" t="s">
        <v>232</v>
      </c>
      <c r="C8" s="87">
        <v>400</v>
      </c>
      <c r="D8" s="87">
        <v>100</v>
      </c>
      <c r="E8" s="87">
        <v>40000</v>
      </c>
      <c r="H8" s="8"/>
      <c r="I8" s="140"/>
      <c r="J8" s="140"/>
      <c r="K8" s="140"/>
      <c r="L8" s="140"/>
      <c r="M8" s="140"/>
    </row>
    <row r="9" spans="2:20" ht="21" x14ac:dyDescent="0.35">
      <c r="B9" s="89" t="s">
        <v>242</v>
      </c>
      <c r="C9" s="85">
        <v>350</v>
      </c>
      <c r="D9" s="84"/>
      <c r="E9" s="90">
        <v>35210</v>
      </c>
      <c r="H9" s="51"/>
      <c r="I9" s="140"/>
      <c r="J9" s="140"/>
      <c r="K9" s="140"/>
      <c r="L9" s="140"/>
      <c r="M9" s="140"/>
    </row>
    <row r="10" spans="2:20" ht="21" x14ac:dyDescent="0.35">
      <c r="B10" s="91" t="s">
        <v>238</v>
      </c>
      <c r="C10" s="87">
        <v>272</v>
      </c>
      <c r="D10" s="86"/>
      <c r="E10" s="87">
        <v>32826</v>
      </c>
    </row>
    <row r="11" spans="2:20" ht="21" x14ac:dyDescent="0.35">
      <c r="B11" s="84" t="s">
        <v>258</v>
      </c>
      <c r="C11" s="86"/>
      <c r="D11" s="86"/>
      <c r="E11" s="87" t="s">
        <v>311</v>
      </c>
      <c r="H11" s="25" t="s">
        <v>238</v>
      </c>
      <c r="I11" s="14" t="s">
        <v>235</v>
      </c>
      <c r="J11" s="14" t="s">
        <v>221</v>
      </c>
      <c r="K11" s="4" t="s">
        <v>236</v>
      </c>
    </row>
    <row r="12" spans="2:20" ht="21" x14ac:dyDescent="0.35">
      <c r="B12" s="84" t="s">
        <v>260</v>
      </c>
      <c r="C12" s="87">
        <v>100</v>
      </c>
      <c r="D12" s="87">
        <v>107</v>
      </c>
      <c r="E12" s="87">
        <v>10700</v>
      </c>
      <c r="H12" s="4" t="s">
        <v>233</v>
      </c>
      <c r="I12" s="4">
        <v>132</v>
      </c>
      <c r="J12" s="4">
        <v>168</v>
      </c>
      <c r="K12" s="4">
        <f>I12*J12</f>
        <v>22176</v>
      </c>
    </row>
    <row r="13" spans="2:20" ht="21" x14ac:dyDescent="0.35">
      <c r="B13" s="92" t="s">
        <v>269</v>
      </c>
      <c r="C13" s="86"/>
      <c r="D13" s="86"/>
      <c r="E13" s="93">
        <v>264000</v>
      </c>
      <c r="H13" s="4" t="s">
        <v>234</v>
      </c>
      <c r="I13" s="4">
        <v>150</v>
      </c>
      <c r="J13" s="4">
        <v>71</v>
      </c>
      <c r="K13" s="4">
        <f>I13*J13</f>
        <v>10650</v>
      </c>
    </row>
    <row r="14" spans="2:20" ht="21" x14ac:dyDescent="0.35">
      <c r="B14" s="92" t="s">
        <v>270</v>
      </c>
      <c r="C14" s="86"/>
      <c r="D14" s="86"/>
      <c r="E14" s="93">
        <v>75000</v>
      </c>
      <c r="H14" s="22" t="s">
        <v>236</v>
      </c>
      <c r="I14" s="4"/>
      <c r="J14" s="4"/>
      <c r="K14" s="4">
        <f>SUM(K12:K13)</f>
        <v>32826</v>
      </c>
    </row>
    <row r="15" spans="2:20" ht="21" x14ac:dyDescent="0.35">
      <c r="B15" s="94"/>
      <c r="C15" s="94"/>
      <c r="D15" s="94"/>
      <c r="E15" s="95">
        <v>1249176</v>
      </c>
    </row>
    <row r="16" spans="2:20" x14ac:dyDescent="0.25">
      <c r="H16" s="24" t="s">
        <v>277</v>
      </c>
      <c r="I16" s="14" t="s">
        <v>235</v>
      </c>
      <c r="J16" s="14" t="s">
        <v>221</v>
      </c>
      <c r="K16" s="4" t="s">
        <v>236</v>
      </c>
    </row>
    <row r="17" spans="2:11" ht="16.5" thickBot="1" x14ac:dyDescent="0.3">
      <c r="B17" s="110" t="s">
        <v>317</v>
      </c>
      <c r="H17" s="18" t="s">
        <v>240</v>
      </c>
      <c r="I17" s="4">
        <v>280</v>
      </c>
      <c r="J17" s="4">
        <v>98</v>
      </c>
      <c r="K17" s="4">
        <f>I17*J17</f>
        <v>27440</v>
      </c>
    </row>
    <row r="18" spans="2:11" ht="24" thickBot="1" x14ac:dyDescent="0.3">
      <c r="B18" s="103" t="s">
        <v>312</v>
      </c>
      <c r="C18" s="104"/>
      <c r="D18" s="105"/>
      <c r="E18" s="96"/>
      <c r="F18" s="96"/>
      <c r="G18" s="107"/>
      <c r="H18" s="18" t="s">
        <v>241</v>
      </c>
      <c r="I18" s="4">
        <v>70</v>
      </c>
      <c r="J18" s="4">
        <v>111</v>
      </c>
      <c r="K18" s="4">
        <f>I18*J18</f>
        <v>7770</v>
      </c>
    </row>
    <row r="19" spans="2:11" ht="27" thickTop="1" thickBot="1" x14ac:dyDescent="0.3">
      <c r="B19" s="97"/>
      <c r="C19" s="98" t="s">
        <v>313</v>
      </c>
      <c r="D19" s="98" t="s">
        <v>314</v>
      </c>
      <c r="E19" s="98" t="s">
        <v>315</v>
      </c>
      <c r="F19" s="98" t="s">
        <v>249</v>
      </c>
      <c r="G19" s="108"/>
      <c r="H19" s="64" t="s">
        <v>271</v>
      </c>
      <c r="I19" s="63">
        <v>90</v>
      </c>
      <c r="J19" s="63">
        <v>107</v>
      </c>
      <c r="K19" s="63">
        <f t="shared" ref="K19:K24" si="0">I19*J19</f>
        <v>9630</v>
      </c>
    </row>
    <row r="20" spans="2:11" ht="15.75" thickBot="1" x14ac:dyDescent="0.3">
      <c r="B20" s="99" t="s">
        <v>263</v>
      </c>
      <c r="C20" s="99">
        <v>1000</v>
      </c>
      <c r="D20" s="100">
        <v>264000</v>
      </c>
      <c r="E20" s="100">
        <v>75000</v>
      </c>
      <c r="F20" s="100">
        <v>339000</v>
      </c>
      <c r="G20" s="109"/>
      <c r="H20" s="62" t="s">
        <v>272</v>
      </c>
      <c r="I20" s="63">
        <v>420</v>
      </c>
      <c r="J20" s="63">
        <v>111</v>
      </c>
      <c r="K20" s="63">
        <f t="shared" si="0"/>
        <v>46620</v>
      </c>
    </row>
    <row r="21" spans="2:11" ht="15.75" thickBot="1" x14ac:dyDescent="0.3">
      <c r="B21" s="101" t="s">
        <v>265</v>
      </c>
      <c r="C21" s="101">
        <v>1050</v>
      </c>
      <c r="D21" s="101" t="s">
        <v>316</v>
      </c>
      <c r="E21" s="102">
        <v>0</v>
      </c>
      <c r="F21" s="102">
        <v>42000</v>
      </c>
      <c r="G21" s="109"/>
      <c r="H21" s="62" t="s">
        <v>273</v>
      </c>
      <c r="I21" s="63">
        <v>90</v>
      </c>
      <c r="J21" s="63">
        <v>138</v>
      </c>
      <c r="K21" s="63">
        <f t="shared" si="0"/>
        <v>12420</v>
      </c>
    </row>
    <row r="22" spans="2:11" ht="15.75" thickBot="1" x14ac:dyDescent="0.3">
      <c r="B22" s="99" t="s">
        <v>266</v>
      </c>
      <c r="C22" s="99">
        <v>1103</v>
      </c>
      <c r="D22" s="99" t="s">
        <v>316</v>
      </c>
      <c r="E22" s="100">
        <v>0</v>
      </c>
      <c r="F22" s="100">
        <v>42000</v>
      </c>
      <c r="G22" s="109"/>
      <c r="H22" s="62" t="s">
        <v>274</v>
      </c>
      <c r="I22" s="63">
        <v>90</v>
      </c>
      <c r="J22" s="63">
        <v>138</v>
      </c>
      <c r="K22" s="63">
        <f t="shared" si="0"/>
        <v>12420</v>
      </c>
    </row>
    <row r="23" spans="2:11" ht="15.75" thickBot="1" x14ac:dyDescent="0.3">
      <c r="B23" s="101" t="s">
        <v>267</v>
      </c>
      <c r="C23" s="101">
        <v>1159</v>
      </c>
      <c r="D23" s="101" t="s">
        <v>316</v>
      </c>
      <c r="E23" s="102">
        <v>0</v>
      </c>
      <c r="F23" s="102">
        <v>42000</v>
      </c>
      <c r="G23" s="109"/>
      <c r="H23" s="62" t="s">
        <v>275</v>
      </c>
      <c r="I23" s="63">
        <v>40</v>
      </c>
      <c r="J23" s="63">
        <v>107</v>
      </c>
      <c r="K23" s="63">
        <f t="shared" si="0"/>
        <v>4280</v>
      </c>
    </row>
    <row r="24" spans="2:11" ht="15.75" thickBot="1" x14ac:dyDescent="0.3">
      <c r="B24" s="99" t="s">
        <v>268</v>
      </c>
      <c r="C24" s="99">
        <v>1217</v>
      </c>
      <c r="D24" s="99" t="s">
        <v>316</v>
      </c>
      <c r="E24" s="100">
        <v>0</v>
      </c>
      <c r="F24" s="100">
        <v>42000</v>
      </c>
      <c r="G24" s="109"/>
      <c r="H24" s="62" t="s">
        <v>276</v>
      </c>
      <c r="I24" s="62">
        <v>90</v>
      </c>
      <c r="J24" s="62">
        <v>143</v>
      </c>
      <c r="K24" s="62">
        <f t="shared" si="0"/>
        <v>12870</v>
      </c>
    </row>
    <row r="25" spans="2:11" ht="18.75" x14ac:dyDescent="0.3">
      <c r="K25" s="48">
        <v>35210</v>
      </c>
    </row>
    <row r="38" spans="2:5" ht="15.75" x14ac:dyDescent="0.25">
      <c r="B38" s="29" t="s">
        <v>250</v>
      </c>
      <c r="C38" s="29" t="s">
        <v>251</v>
      </c>
      <c r="D38" s="29" t="s">
        <v>221</v>
      </c>
      <c r="E38" s="29" t="s">
        <v>249</v>
      </c>
    </row>
    <row r="39" spans="2:5" ht="21" x14ac:dyDescent="0.35">
      <c r="B39" s="32" t="s">
        <v>248</v>
      </c>
      <c r="C39" s="32">
        <v>4600</v>
      </c>
      <c r="D39" s="32">
        <v>100</v>
      </c>
      <c r="E39" s="32">
        <f t="shared" ref="E39:E44" si="1">C39*D39</f>
        <v>460000</v>
      </c>
    </row>
    <row r="40" spans="2:5" ht="21" x14ac:dyDescent="0.35">
      <c r="B40" s="33" t="s">
        <v>244</v>
      </c>
      <c r="C40" s="33">
        <v>960</v>
      </c>
      <c r="D40" s="33">
        <v>75</v>
      </c>
      <c r="E40" s="33">
        <f t="shared" si="1"/>
        <v>72000</v>
      </c>
    </row>
    <row r="41" spans="2:5" ht="21" x14ac:dyDescent="0.35">
      <c r="B41" s="32" t="s">
        <v>245</v>
      </c>
      <c r="C41" s="32">
        <v>480</v>
      </c>
      <c r="D41" s="32">
        <v>143</v>
      </c>
      <c r="E41" s="32">
        <f t="shared" si="1"/>
        <v>68640</v>
      </c>
    </row>
    <row r="42" spans="2:5" ht="21" x14ac:dyDescent="0.35">
      <c r="B42" s="34" t="s">
        <v>237</v>
      </c>
      <c r="C42" s="33">
        <v>1350</v>
      </c>
      <c r="D42" s="33">
        <v>80</v>
      </c>
      <c r="E42" s="33">
        <f t="shared" si="1"/>
        <v>108000</v>
      </c>
    </row>
    <row r="43" spans="2:5" ht="21" x14ac:dyDescent="0.35">
      <c r="B43" s="32" t="s">
        <v>246</v>
      </c>
      <c r="C43" s="32">
        <v>400</v>
      </c>
      <c r="D43" s="35">
        <v>107</v>
      </c>
      <c r="E43" s="32">
        <f t="shared" si="1"/>
        <v>42800</v>
      </c>
    </row>
    <row r="44" spans="2:5" ht="21" x14ac:dyDescent="0.35">
      <c r="B44" s="33" t="s">
        <v>232</v>
      </c>
      <c r="C44" s="33">
        <v>400</v>
      </c>
      <c r="D44" s="33">
        <v>100</v>
      </c>
      <c r="E44" s="33">
        <f t="shared" si="1"/>
        <v>40000</v>
      </c>
    </row>
    <row r="45" spans="2:5" ht="21" x14ac:dyDescent="0.35">
      <c r="B45" s="36" t="s">
        <v>242</v>
      </c>
      <c r="C45" s="32">
        <v>350</v>
      </c>
      <c r="D45" s="35"/>
      <c r="E45" s="48">
        <v>35210</v>
      </c>
    </row>
    <row r="46" spans="2:5" ht="21" x14ac:dyDescent="0.35">
      <c r="B46" s="37" t="s">
        <v>238</v>
      </c>
      <c r="C46" s="33">
        <v>272</v>
      </c>
      <c r="D46" s="33"/>
      <c r="E46" s="33">
        <v>32826</v>
      </c>
    </row>
    <row r="47" spans="2:5" ht="21" x14ac:dyDescent="0.35">
      <c r="B47" s="38" t="s">
        <v>258</v>
      </c>
      <c r="C47" s="33"/>
      <c r="D47" s="33"/>
      <c r="E47" s="33"/>
    </row>
    <row r="48" spans="2:5" ht="21" x14ac:dyDescent="0.35">
      <c r="B48" s="38" t="s">
        <v>260</v>
      </c>
      <c r="C48" s="33"/>
      <c r="D48" s="33"/>
      <c r="E48" s="33"/>
    </row>
    <row r="49" spans="2:5" ht="21" x14ac:dyDescent="0.35">
      <c r="B49" s="50" t="s">
        <v>269</v>
      </c>
      <c r="C49" s="33"/>
      <c r="D49" s="33"/>
      <c r="E49" s="45">
        <v>264000</v>
      </c>
    </row>
    <row r="50" spans="2:5" ht="21" x14ac:dyDescent="0.35">
      <c r="B50" s="50" t="s">
        <v>270</v>
      </c>
      <c r="C50" s="33"/>
      <c r="D50" s="33"/>
      <c r="E50" s="45">
        <v>75000</v>
      </c>
    </row>
    <row r="51" spans="2:5" ht="37.5" x14ac:dyDescent="0.35">
      <c r="B51" s="40" t="s">
        <v>262</v>
      </c>
      <c r="C51" s="27"/>
      <c r="D51" s="27"/>
      <c r="E51" s="27"/>
    </row>
    <row r="52" spans="2:5" ht="21" x14ac:dyDescent="0.35">
      <c r="B52" s="28"/>
      <c r="C52" s="28"/>
      <c r="D52" s="28"/>
      <c r="E52" s="28">
        <f>SUM(E39:E51)</f>
        <v>1198476</v>
      </c>
    </row>
    <row r="53" spans="2:5" x14ac:dyDescent="0.25">
      <c r="B53" s="16"/>
      <c r="C53" s="16"/>
      <c r="D53" s="16"/>
      <c r="E53" s="52"/>
    </row>
    <row r="54" spans="2:5" ht="18.75" x14ac:dyDescent="0.25">
      <c r="B54" s="31" t="s">
        <v>257</v>
      </c>
      <c r="C54" s="30" t="s">
        <v>254</v>
      </c>
      <c r="D54" s="30" t="s">
        <v>253</v>
      </c>
    </row>
    <row r="55" spans="2:5" ht="21" x14ac:dyDescent="0.35">
      <c r="B55" s="39" t="s">
        <v>261</v>
      </c>
      <c r="C55" s="41" t="s">
        <v>264</v>
      </c>
      <c r="D55" s="43">
        <v>75000</v>
      </c>
    </row>
    <row r="56" spans="2:5" ht="21" x14ac:dyDescent="0.35">
      <c r="B56" s="39" t="s">
        <v>259</v>
      </c>
      <c r="C56" s="41">
        <v>1000</v>
      </c>
      <c r="D56" s="43">
        <v>264000</v>
      </c>
    </row>
    <row r="57" spans="2:5" ht="18.75" x14ac:dyDescent="0.3">
      <c r="B57" s="4" t="s">
        <v>263</v>
      </c>
      <c r="C57" s="4"/>
      <c r="D57" s="44">
        <v>339000</v>
      </c>
    </row>
    <row r="58" spans="2:5" x14ac:dyDescent="0.25">
      <c r="B58" s="4" t="s">
        <v>265</v>
      </c>
      <c r="C58" s="4"/>
      <c r="D58" s="42">
        <v>42000</v>
      </c>
    </row>
    <row r="59" spans="2:5" x14ac:dyDescent="0.25">
      <c r="B59" s="4" t="s">
        <v>266</v>
      </c>
      <c r="C59" s="4"/>
      <c r="D59" s="42">
        <v>42000</v>
      </c>
    </row>
    <row r="60" spans="2:5" x14ac:dyDescent="0.25">
      <c r="B60" s="4" t="s">
        <v>267</v>
      </c>
      <c r="C60" s="4"/>
      <c r="D60" s="42">
        <v>42000</v>
      </c>
    </row>
    <row r="61" spans="2:5" x14ac:dyDescent="0.25">
      <c r="B61" s="4" t="s">
        <v>268</v>
      </c>
      <c r="C61" s="4"/>
      <c r="D61" s="42">
        <v>42000</v>
      </c>
    </row>
    <row r="62" spans="2:5" x14ac:dyDescent="0.25">
      <c r="B62" s="4"/>
      <c r="C62" s="4"/>
      <c r="D62" s="4"/>
    </row>
  </sheetData>
  <mergeCells count="1">
    <mergeCell ref="B18:D18"/>
  </mergeCells>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E4C-D61A-4DBF-9FC5-404E0F6B9942}">
  <dimension ref="A1:L9"/>
  <sheetViews>
    <sheetView workbookViewId="0">
      <selection activeCell="B2" sqref="B2"/>
    </sheetView>
  </sheetViews>
  <sheetFormatPr defaultRowHeight="15" x14ac:dyDescent="0.25"/>
  <cols>
    <col min="3" max="3" width="17.5703125" customWidth="1"/>
    <col min="4" max="5" width="0" hidden="1" customWidth="1"/>
    <col min="7" max="7" width="14.7109375" customWidth="1"/>
    <col min="8" max="8" width="12.5703125" customWidth="1"/>
    <col min="9" max="9" width="17.85546875" customWidth="1"/>
    <col min="10" max="10" width="19.28515625" customWidth="1"/>
    <col min="11" max="11" width="21" customWidth="1"/>
    <col min="12" max="12" width="14.5703125" customWidth="1"/>
  </cols>
  <sheetData>
    <row r="1" spans="1:12" ht="45" customHeight="1" x14ac:dyDescent="0.25">
      <c r="A1" s="13"/>
      <c r="B1" s="13" t="s">
        <v>166</v>
      </c>
      <c r="C1" s="13" t="s">
        <v>228</v>
      </c>
      <c r="D1" s="14" t="s">
        <v>215</v>
      </c>
      <c r="E1" s="14" t="s">
        <v>216</v>
      </c>
      <c r="F1" s="14" t="s">
        <v>217</v>
      </c>
      <c r="G1" s="15" t="s">
        <v>219</v>
      </c>
      <c r="H1" s="15" t="s">
        <v>218</v>
      </c>
      <c r="I1" s="17" t="s">
        <v>229</v>
      </c>
      <c r="J1" s="15" t="s">
        <v>227</v>
      </c>
      <c r="K1" s="17" t="s">
        <v>243</v>
      </c>
      <c r="L1" s="15" t="s">
        <v>247</v>
      </c>
    </row>
    <row r="2" spans="1:12" x14ac:dyDescent="0.25">
      <c r="A2" s="21" t="s">
        <v>175</v>
      </c>
      <c r="B2" s="21">
        <v>4000</v>
      </c>
      <c r="C2" s="11">
        <v>4600</v>
      </c>
      <c r="D2" s="11">
        <v>960</v>
      </c>
      <c r="E2" s="11">
        <v>1920</v>
      </c>
      <c r="F2" s="11">
        <v>12</v>
      </c>
      <c r="G2" s="11">
        <v>1</v>
      </c>
      <c r="H2" s="11">
        <v>2</v>
      </c>
      <c r="I2" s="20">
        <v>390</v>
      </c>
      <c r="J2" s="11" t="s">
        <v>220</v>
      </c>
      <c r="K2" s="11" t="s">
        <v>230</v>
      </c>
      <c r="L2" s="11"/>
    </row>
    <row r="5" spans="1:12" x14ac:dyDescent="0.25">
      <c r="K5" t="s">
        <v>231</v>
      </c>
    </row>
    <row r="6" spans="1:12" x14ac:dyDescent="0.25">
      <c r="K6" t="s">
        <v>223</v>
      </c>
    </row>
    <row r="7" spans="1:12" x14ac:dyDescent="0.25">
      <c r="K7" t="s">
        <v>224</v>
      </c>
    </row>
    <row r="8" spans="1:12" x14ac:dyDescent="0.25">
      <c r="K8" t="s">
        <v>225</v>
      </c>
    </row>
    <row r="9" spans="1:12" x14ac:dyDescent="0.25">
      <c r="K9" t="s">
        <v>226</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Backlog</vt:lpstr>
      <vt:lpstr>Assumptions</vt:lpstr>
      <vt:lpstr>Cost_Salesforce</vt:lpstr>
      <vt:lpstr>Sheet1</vt:lpstr>
      <vt:lpstr>Cost_Sitecore</vt:lpstr>
      <vt:lpstr>Salesforce Schedule</vt:lpstr>
    </vt:vector>
  </TitlesOfParts>
  <Company>LON-SCCM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Papri Barua</dc:creator>
  <cp:lastModifiedBy>Quraishi, Wajahath</cp:lastModifiedBy>
  <dcterms:created xsi:type="dcterms:W3CDTF">2019-01-15T17:50:11Z</dcterms:created>
  <dcterms:modified xsi:type="dcterms:W3CDTF">2019-01-25T18:20:56Z</dcterms:modified>
</cp:coreProperties>
</file>