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 activeTab="3"/>
  </bookViews>
  <sheets>
    <sheet name="Sum Concat" sheetId="1" r:id="rId1"/>
    <sheet name="Replace" sheetId="2" r:id="rId2"/>
    <sheet name="Sheet5" sheetId="5" r:id="rId3"/>
    <sheet name="Raw Data" sheetId="4" r:id="rId4"/>
    <sheet name="Data Validations" sheetId="3" r:id="rId5"/>
  </sheets>
  <definedNames>
    <definedName name="_xlnm._FilterDatabase" localSheetId="3" hidden="1">'Raw Data'!$A$1:$F$10</definedName>
  </definedNames>
  <calcPr calcId="125725"/>
  <pivotCaches>
    <pivotCache cacheId="7" r:id="rId6"/>
  </pivotCaches>
</workbook>
</file>

<file path=xl/calcChain.xml><?xml version="1.0" encoding="utf-8"?>
<calcChain xmlns="http://schemas.openxmlformats.org/spreadsheetml/2006/main">
  <c r="A5" i="1"/>
  <c r="B2" i="2"/>
  <c r="B1"/>
  <c r="E1" i="1"/>
  <c r="C10"/>
  <c r="H3"/>
  <c r="H2"/>
  <c r="C8"/>
  <c r="C9"/>
  <c r="C7"/>
  <c r="D2"/>
  <c r="D1"/>
</calcChain>
</file>

<file path=xl/sharedStrings.xml><?xml version="1.0" encoding="utf-8"?>
<sst xmlns="http://schemas.openxmlformats.org/spreadsheetml/2006/main" count="86" uniqueCount="37">
  <si>
    <t>Uffan</t>
  </si>
  <si>
    <t>Uzair</t>
  </si>
  <si>
    <t>Abdullah</t>
  </si>
  <si>
    <t>Quraishi</t>
  </si>
  <si>
    <t>aziz</t>
  </si>
  <si>
    <t>Uffan Quraishi</t>
  </si>
  <si>
    <t>Uzair Quraishi</t>
  </si>
  <si>
    <t>Abdullah Quraishi</t>
  </si>
  <si>
    <t>aziz Quraishi</t>
  </si>
  <si>
    <t>To Do</t>
  </si>
  <si>
    <t>Sl. No.</t>
  </si>
  <si>
    <t>Name</t>
  </si>
  <si>
    <t>Wajahath</t>
  </si>
  <si>
    <t>Uzma</t>
  </si>
  <si>
    <t>Abdulah</t>
  </si>
  <si>
    <t>Rizwan</t>
  </si>
  <si>
    <t>Shazia</t>
  </si>
  <si>
    <t>Hasa</t>
  </si>
  <si>
    <t>Ali</t>
  </si>
  <si>
    <t>Gender</t>
  </si>
  <si>
    <t>M</t>
  </si>
  <si>
    <t>F</t>
  </si>
  <si>
    <t>Age Group</t>
  </si>
  <si>
    <t>Adult</t>
  </si>
  <si>
    <t>Kid</t>
  </si>
  <si>
    <t>TX</t>
  </si>
  <si>
    <t>MN</t>
  </si>
  <si>
    <t>State</t>
  </si>
  <si>
    <t>City</t>
  </si>
  <si>
    <t>Plano</t>
  </si>
  <si>
    <t>Minneapolis</t>
  </si>
  <si>
    <t>Corpus</t>
  </si>
  <si>
    <t>Row Labels</t>
  </si>
  <si>
    <t>Grand Total</t>
  </si>
  <si>
    <t>Column Labels</t>
  </si>
  <si>
    <t>(All)</t>
  </si>
  <si>
    <t>Count of 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</si>
</sst>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ajahath Quraishi" refreshedDate="43338.547425925928" createdVersion="3" refreshedVersion="3" minRefreshableVersion="3" recordCount="9">
  <cacheSource type="worksheet">
    <worksheetSource ref="A1:F10" sheet="Raw Data"/>
  </cacheSource>
  <cacheFields count="6">
    <cacheField name="Sl. No." numFmtId="0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  <cacheField name="Name" numFmtId="0">
      <sharedItems count="9">
        <s v="Wajahath"/>
        <s v="Uzma"/>
        <s v="Uffan"/>
        <s v="Uzair"/>
        <s v="Abdulah"/>
        <s v="Rizwan"/>
        <s v="Shazia"/>
        <s v="Hasa"/>
        <s v="Ali"/>
      </sharedItems>
    </cacheField>
    <cacheField name="Gender" numFmtId="0">
      <sharedItems count="2">
        <s v="M"/>
        <s v="F"/>
      </sharedItems>
    </cacheField>
    <cacheField name="Age Group" numFmtId="0">
      <sharedItems count="2">
        <s v="Adult"/>
        <s v="Kid"/>
      </sharedItems>
    </cacheField>
    <cacheField name="State" numFmtId="0">
      <sharedItems count="2">
        <s v="TX"/>
        <s v="MN"/>
      </sharedItems>
    </cacheField>
    <cacheField name="City" numFmtId="0">
      <sharedItems count="3">
        <s v="Plano"/>
        <s v="Minneapolis"/>
        <s v="Corpu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x v="0"/>
    <x v="0"/>
    <x v="0"/>
    <x v="0"/>
    <x v="0"/>
    <x v="0"/>
  </r>
  <r>
    <x v="1"/>
    <x v="1"/>
    <x v="1"/>
    <x v="0"/>
    <x v="0"/>
    <x v="0"/>
  </r>
  <r>
    <x v="2"/>
    <x v="2"/>
    <x v="0"/>
    <x v="1"/>
    <x v="0"/>
    <x v="0"/>
  </r>
  <r>
    <x v="3"/>
    <x v="3"/>
    <x v="0"/>
    <x v="1"/>
    <x v="0"/>
    <x v="0"/>
  </r>
  <r>
    <x v="4"/>
    <x v="4"/>
    <x v="0"/>
    <x v="1"/>
    <x v="0"/>
    <x v="0"/>
  </r>
  <r>
    <x v="5"/>
    <x v="5"/>
    <x v="0"/>
    <x v="0"/>
    <x v="1"/>
    <x v="1"/>
  </r>
  <r>
    <x v="6"/>
    <x v="6"/>
    <x v="1"/>
    <x v="0"/>
    <x v="1"/>
    <x v="1"/>
  </r>
  <r>
    <x v="7"/>
    <x v="7"/>
    <x v="1"/>
    <x v="1"/>
    <x v="1"/>
    <x v="1"/>
  </r>
  <r>
    <x v="8"/>
    <x v="8"/>
    <x v="0"/>
    <x v="0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4:E8" firstHeaderRow="1" firstDataRow="2" firstDataCol="1" rowPageCount="2" colPageCount="1"/>
  <pivotFields count="6">
    <pivotField showAll="0"/>
    <pivotField dataField="1" showAll="0">
      <items count="10">
        <item x="4"/>
        <item x="8"/>
        <item x="7"/>
        <item x="5"/>
        <item x="6"/>
        <item x="2"/>
        <item x="3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axis="axisCol" showAll="0">
      <items count="4">
        <item x="2"/>
        <item x="1"/>
        <item x="0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3" hier="-1"/>
    <pageField fld="2" item="1" hier="-1"/>
  </pageFields>
  <dataFields count="1">
    <dataField name="Count of Name" fld="1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>
      <selection activeCell="F10" sqref="F10"/>
    </sheetView>
  </sheetViews>
  <sheetFormatPr defaultRowHeight="15"/>
  <cols>
    <col min="5" max="5" width="10.42578125" bestFit="1" customWidth="1"/>
    <col min="8" max="8" width="35.28515625" customWidth="1"/>
  </cols>
  <sheetData>
    <row r="1" spans="1:8">
      <c r="A1">
        <v>4</v>
      </c>
      <c r="B1">
        <v>4</v>
      </c>
      <c r="C1">
        <v>5</v>
      </c>
      <c r="D1">
        <f>C1*B1+5</f>
        <v>25</v>
      </c>
      <c r="E1">
        <f>D1*(C1+5)</f>
        <v>250</v>
      </c>
    </row>
    <row r="2" spans="1:8">
      <c r="A2">
        <v>4</v>
      </c>
      <c r="B2">
        <v>4</v>
      </c>
      <c r="C2">
        <v>5</v>
      </c>
      <c r="D2">
        <f>A2*B2+3</f>
        <v>19</v>
      </c>
      <c r="H2" t="b">
        <f>H4=CONCATENATE(A10," ",B10)</f>
        <v>0</v>
      </c>
    </row>
    <row r="3" spans="1:8">
      <c r="A3">
        <v>4</v>
      </c>
      <c r="B3">
        <v>4</v>
      </c>
      <c r="C3">
        <v>5</v>
      </c>
      <c r="H3" t="str">
        <f>CONCATENATE(A10," ",B10)</f>
        <v>aziz Quraishi</v>
      </c>
    </row>
    <row r="4" spans="1:8">
      <c r="A4">
        <v>4</v>
      </c>
      <c r="B4">
        <v>4</v>
      </c>
      <c r="C4">
        <v>5</v>
      </c>
    </row>
    <row r="5" spans="1:8">
      <c r="A5">
        <f>SUM(A1:A4)</f>
        <v>16</v>
      </c>
      <c r="C5">
        <v>4</v>
      </c>
      <c r="D5">
        <v>7</v>
      </c>
    </row>
    <row r="7" spans="1:8">
      <c r="A7" t="s">
        <v>0</v>
      </c>
      <c r="B7" t="s">
        <v>3</v>
      </c>
      <c r="C7" t="str">
        <f>CONCATENATE(A7," ",B7)</f>
        <v>Uffan Quraishi</v>
      </c>
    </row>
    <row r="8" spans="1:8">
      <c r="A8" t="s">
        <v>1</v>
      </c>
      <c r="B8" t="s">
        <v>3</v>
      </c>
      <c r="C8" t="str">
        <f>CONCATENATE(A8," ",B8)</f>
        <v>Uzair Quraishi</v>
      </c>
      <c r="F8">
        <v>7</v>
      </c>
    </row>
    <row r="9" spans="1:8">
      <c r="A9" t="s">
        <v>2</v>
      </c>
      <c r="B9" t="s">
        <v>3</v>
      </c>
      <c r="C9" t="str">
        <f>CONCATENATE(A9," ",B9)</f>
        <v>Abdullah Quraishi</v>
      </c>
      <c r="E9" s="1">
        <v>43338</v>
      </c>
    </row>
    <row r="10" spans="1:8">
      <c r="A10" t="s">
        <v>4</v>
      </c>
      <c r="B10" t="s">
        <v>3</v>
      </c>
      <c r="C10" t="str">
        <f>CONCATENATE(A10," ",B10)</f>
        <v>aziz Quraishi</v>
      </c>
      <c r="E10" s="1">
        <v>43338</v>
      </c>
    </row>
    <row r="11" spans="1:8">
      <c r="E11" s="1">
        <v>43338</v>
      </c>
    </row>
    <row r="12" spans="1:8">
      <c r="E12" s="1">
        <v>43338</v>
      </c>
    </row>
  </sheetData>
  <conditionalFormatting sqref="A1:D5">
    <cfRule type="cellIs" dxfId="2" priority="2" operator="equal">
      <formula>4</formula>
    </cfRule>
  </conditionalFormatting>
  <conditionalFormatting sqref="A1:D6">
    <cfRule type="cellIs" dxfId="0" priority="1" operator="greaterThan">
      <formula>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B3" sqref="B3"/>
    </sheetView>
  </sheetViews>
  <sheetFormatPr defaultRowHeight="15"/>
  <cols>
    <col min="1" max="1" width="17" bestFit="1" customWidth="1"/>
    <col min="2" max="2" width="16.7109375" customWidth="1"/>
    <col min="3" max="3" width="18.140625" customWidth="1"/>
  </cols>
  <sheetData>
    <row r="1" spans="1:5">
      <c r="A1" t="s">
        <v>5</v>
      </c>
      <c r="B1">
        <f>FIND("Q",A1)</f>
        <v>7</v>
      </c>
      <c r="D1" t="s">
        <v>0</v>
      </c>
      <c r="E1" t="s">
        <v>3</v>
      </c>
    </row>
    <row r="2" spans="1:5">
      <c r="A2" t="s">
        <v>6</v>
      </c>
      <c r="B2" t="str">
        <f>SUBSTITUTE(A2,"Q","K")</f>
        <v>Uzair Kuraishi</v>
      </c>
      <c r="D2" t="s">
        <v>1</v>
      </c>
      <c r="E2" t="s">
        <v>3</v>
      </c>
    </row>
    <row r="3" spans="1:5">
      <c r="A3" t="s">
        <v>7</v>
      </c>
      <c r="D3" t="s">
        <v>2</v>
      </c>
      <c r="E3" t="s">
        <v>3</v>
      </c>
    </row>
    <row r="4" spans="1:5">
      <c r="A4" t="s">
        <v>8</v>
      </c>
      <c r="D4" t="s">
        <v>4</v>
      </c>
      <c r="E4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selection activeCell="A4" sqref="A4"/>
    </sheetView>
  </sheetViews>
  <sheetFormatPr defaultRowHeight="15"/>
  <cols>
    <col min="1" max="1" width="14.42578125" customWidth="1"/>
    <col min="2" max="2" width="16.28515625" customWidth="1"/>
    <col min="3" max="3" width="12.140625" customWidth="1"/>
    <col min="4" max="4" width="6" customWidth="1"/>
    <col min="5" max="5" width="11.28515625" customWidth="1"/>
    <col min="6" max="6" width="6.5703125" customWidth="1"/>
    <col min="7" max="7" width="6" customWidth="1"/>
    <col min="8" max="8" width="5.5703125" customWidth="1"/>
    <col min="9" max="9" width="6" customWidth="1"/>
    <col min="10" max="10" width="9.5703125" customWidth="1"/>
    <col min="11" max="11" width="11.28515625" customWidth="1"/>
    <col min="12" max="12" width="9.5703125" bestFit="1" customWidth="1"/>
    <col min="13" max="13" width="10.85546875" bestFit="1" customWidth="1"/>
    <col min="14" max="14" width="11.28515625" bestFit="1" customWidth="1"/>
  </cols>
  <sheetData>
    <row r="1" spans="1:5">
      <c r="A1" s="2" t="s">
        <v>22</v>
      </c>
      <c r="B1" t="s">
        <v>35</v>
      </c>
    </row>
    <row r="2" spans="1:5">
      <c r="A2" s="2" t="s">
        <v>19</v>
      </c>
      <c r="B2" t="s">
        <v>20</v>
      </c>
    </row>
    <row r="4" spans="1:5">
      <c r="A4" s="2" t="s">
        <v>36</v>
      </c>
      <c r="B4" s="2" t="s">
        <v>34</v>
      </c>
    </row>
    <row r="5" spans="1:5">
      <c r="A5" s="2" t="s">
        <v>32</v>
      </c>
      <c r="B5" t="s">
        <v>31</v>
      </c>
      <c r="C5" t="s">
        <v>30</v>
      </c>
      <c r="D5" t="s">
        <v>29</v>
      </c>
      <c r="E5" t="s">
        <v>33</v>
      </c>
    </row>
    <row r="6" spans="1:5">
      <c r="A6" s="3" t="s">
        <v>26</v>
      </c>
      <c r="B6" s="4"/>
      <c r="C6" s="4">
        <v>1</v>
      </c>
      <c r="D6" s="4"/>
      <c r="E6" s="4">
        <v>1</v>
      </c>
    </row>
    <row r="7" spans="1:5">
      <c r="A7" s="3" t="s">
        <v>25</v>
      </c>
      <c r="B7" s="4">
        <v>1</v>
      </c>
      <c r="C7" s="4"/>
      <c r="D7" s="4">
        <v>4</v>
      </c>
      <c r="E7" s="4">
        <v>5</v>
      </c>
    </row>
    <row r="8" spans="1:5">
      <c r="A8" s="3" t="s">
        <v>33</v>
      </c>
      <c r="B8" s="4">
        <v>1</v>
      </c>
      <c r="C8" s="4">
        <v>1</v>
      </c>
      <c r="D8" s="4">
        <v>4</v>
      </c>
      <c r="E8" s="4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>
      <selection activeCell="C6" sqref="C6"/>
    </sheetView>
  </sheetViews>
  <sheetFormatPr defaultRowHeight="15"/>
  <sheetData>
    <row r="1" spans="1:6">
      <c r="A1" t="s">
        <v>10</v>
      </c>
      <c r="B1" t="s">
        <v>11</v>
      </c>
      <c r="C1" t="s">
        <v>19</v>
      </c>
      <c r="D1" t="s">
        <v>22</v>
      </c>
      <c r="E1" t="s">
        <v>27</v>
      </c>
      <c r="F1" t="s">
        <v>28</v>
      </c>
    </row>
    <row r="2" spans="1:6">
      <c r="A2">
        <v>1</v>
      </c>
      <c r="B2" t="s">
        <v>12</v>
      </c>
      <c r="C2" t="s">
        <v>20</v>
      </c>
      <c r="D2" t="s">
        <v>23</v>
      </c>
      <c r="E2" t="s">
        <v>25</v>
      </c>
      <c r="F2" t="s">
        <v>29</v>
      </c>
    </row>
    <row r="3" spans="1:6">
      <c r="A3">
        <v>2</v>
      </c>
      <c r="B3" t="s">
        <v>13</v>
      </c>
      <c r="C3" t="s">
        <v>21</v>
      </c>
      <c r="D3" t="s">
        <v>23</v>
      </c>
      <c r="E3" t="s">
        <v>25</v>
      </c>
      <c r="F3" t="s">
        <v>29</v>
      </c>
    </row>
    <row r="4" spans="1:6">
      <c r="A4">
        <v>3</v>
      </c>
      <c r="B4" t="s">
        <v>0</v>
      </c>
      <c r="C4" t="s">
        <v>20</v>
      </c>
      <c r="D4" t="s">
        <v>24</v>
      </c>
      <c r="E4" t="s">
        <v>25</v>
      </c>
      <c r="F4" t="s">
        <v>29</v>
      </c>
    </row>
    <row r="5" spans="1:6">
      <c r="A5">
        <v>4</v>
      </c>
      <c r="B5" t="s">
        <v>1</v>
      </c>
      <c r="C5" t="s">
        <v>20</v>
      </c>
      <c r="D5" t="s">
        <v>24</v>
      </c>
      <c r="E5" t="s">
        <v>25</v>
      </c>
      <c r="F5" t="s">
        <v>29</v>
      </c>
    </row>
    <row r="6" spans="1:6">
      <c r="A6">
        <v>5</v>
      </c>
      <c r="B6" t="s">
        <v>14</v>
      </c>
      <c r="C6" t="s">
        <v>20</v>
      </c>
      <c r="D6" t="s">
        <v>24</v>
      </c>
      <c r="E6" t="s">
        <v>25</v>
      </c>
      <c r="F6" t="s">
        <v>29</v>
      </c>
    </row>
    <row r="7" spans="1:6">
      <c r="A7">
        <v>6</v>
      </c>
      <c r="B7" t="s">
        <v>15</v>
      </c>
      <c r="C7" t="s">
        <v>20</v>
      </c>
      <c r="D7" t="s">
        <v>23</v>
      </c>
      <c r="E7" t="s">
        <v>26</v>
      </c>
      <c r="F7" t="s">
        <v>30</v>
      </c>
    </row>
    <row r="8" spans="1:6">
      <c r="A8">
        <v>7</v>
      </c>
      <c r="B8" t="s">
        <v>16</v>
      </c>
      <c r="C8" t="s">
        <v>21</v>
      </c>
      <c r="D8" t="s">
        <v>23</v>
      </c>
      <c r="E8" t="s">
        <v>26</v>
      </c>
      <c r="F8" t="s">
        <v>30</v>
      </c>
    </row>
    <row r="9" spans="1:6">
      <c r="A9">
        <v>8</v>
      </c>
      <c r="B9" t="s">
        <v>17</v>
      </c>
      <c r="C9" t="s">
        <v>21</v>
      </c>
      <c r="D9" t="s">
        <v>24</v>
      </c>
      <c r="E9" t="s">
        <v>26</v>
      </c>
      <c r="F9" t="s">
        <v>30</v>
      </c>
    </row>
    <row r="10" spans="1:6">
      <c r="A10">
        <v>9</v>
      </c>
      <c r="B10" t="s">
        <v>18</v>
      </c>
      <c r="C10" t="s">
        <v>20</v>
      </c>
      <c r="D10" t="s">
        <v>23</v>
      </c>
      <c r="E10" t="s">
        <v>25</v>
      </c>
      <c r="F10" t="s">
        <v>31</v>
      </c>
    </row>
  </sheetData>
  <autoFilter ref="A1:F1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5"/>
  <sheetViews>
    <sheetView workbookViewId="0">
      <selection activeCell="A17" sqref="A17"/>
    </sheetView>
  </sheetViews>
  <sheetFormatPr defaultRowHeight="15"/>
  <sheetData>
    <row r="5" spans="2:2">
      <c r="B5" t="s">
        <v>9</v>
      </c>
    </row>
  </sheetData>
  <dataValidations count="2">
    <dataValidation type="list" allowBlank="1" showInputMessage="1" showErrorMessage="1" sqref="A1:A22">
      <formula1>"Pass,Fail"</formula1>
    </dataValidation>
    <dataValidation type="list" allowBlank="1" showInputMessage="1" showErrorMessage="1" sqref="B1:B1048576">
      <formula1>"To Do, In Progress, Done"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 Concat</vt:lpstr>
      <vt:lpstr>Replace</vt:lpstr>
      <vt:lpstr>Sheet5</vt:lpstr>
      <vt:lpstr>Raw Data</vt:lpstr>
      <vt:lpstr>Data Validations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Wajahath Quraishi</dc:creator>
  <cp:lastModifiedBy>Wajahath Quraishi</cp:lastModifiedBy>
  <dcterms:created xsi:type="dcterms:W3CDTF">2018-08-26T17:47:05Z</dcterms:created>
  <dcterms:modified xsi:type="dcterms:W3CDTF">2018-08-29T11:36:48Z</dcterms:modified>
</cp:coreProperties>
</file>