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who5\Desktop\"/>
    </mc:Choice>
  </mc:AlternateContent>
  <bookViews>
    <workbookView xWindow="0" yWindow="0" windowWidth="28800" windowHeight="12120" activeTab="3"/>
  </bookViews>
  <sheets>
    <sheet name="Log" sheetId="1" r:id="rId1"/>
    <sheet name="Help" sheetId="2" state="hidden" r:id="rId2"/>
    <sheet name="Legend" sheetId="3" r:id="rId3"/>
    <sheet name="Readiness Parm Details" sheetId="4" r:id="rId4"/>
    <sheet name="Readiness Summary" sheetId="5" r:id="rId5"/>
  </sheets>
  <calcPr calcId="152511"/>
</workbook>
</file>

<file path=xl/calcChain.xml><?xml version="1.0" encoding="utf-8"?>
<calcChain xmlns="http://schemas.openxmlformats.org/spreadsheetml/2006/main">
  <c r="G74" i="4" l="1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4" i="4"/>
  <c r="F8" i="3"/>
  <c r="G66" i="4" s="1"/>
  <c r="F7" i="3"/>
  <c r="G72" i="4" s="1"/>
  <c r="F6" i="3"/>
  <c r="F5" i="3"/>
  <c r="F4" i="3"/>
  <c r="G8" i="4" l="1"/>
  <c r="G4" i="4"/>
  <c r="G9" i="4"/>
  <c r="G7" i="4"/>
  <c r="G5" i="4"/>
  <c r="G21" i="4"/>
  <c r="G28" i="4"/>
  <c r="G16" i="4"/>
  <c r="G27" i="4"/>
  <c r="G11" i="4"/>
  <c r="G12" i="4"/>
  <c r="G18" i="4"/>
  <c r="G15" i="4"/>
  <c r="G31" i="4"/>
  <c r="G46" i="4"/>
  <c r="G20" i="4"/>
  <c r="G38" i="4"/>
  <c r="G42" i="4"/>
  <c r="G32" i="4"/>
  <c r="G48" i="4"/>
  <c r="G39" i="4"/>
  <c r="G43" i="4"/>
  <c r="G33" i="4"/>
  <c r="G29" i="4"/>
  <c r="G40" i="4"/>
  <c r="G44" i="4"/>
  <c r="G14" i="4"/>
  <c r="G34" i="4"/>
  <c r="G50" i="4"/>
  <c r="G6" i="4"/>
  <c r="G10" i="4"/>
  <c r="G19" i="4"/>
  <c r="G41" i="4"/>
  <c r="H60" i="4"/>
  <c r="H51" i="4"/>
  <c r="H39" i="4"/>
  <c r="H22" i="4"/>
  <c r="H4" i="4"/>
  <c r="G24" i="4"/>
  <c r="G26" i="4"/>
  <c r="G30" i="4"/>
  <c r="G45" i="4"/>
  <c r="G47" i="4"/>
  <c r="G49" i="4"/>
  <c r="G51" i="4"/>
  <c r="G52" i="4"/>
  <c r="G54" i="4"/>
  <c r="G56" i="4"/>
  <c r="G58" i="4"/>
  <c r="G60" i="4"/>
  <c r="G61" i="4"/>
  <c r="G63" i="4"/>
  <c r="G65" i="4"/>
  <c r="G67" i="4"/>
  <c r="G69" i="4"/>
  <c r="G71" i="4"/>
  <c r="G73" i="4"/>
  <c r="E76" i="4"/>
  <c r="G13" i="4"/>
  <c r="G17" i="4"/>
  <c r="G22" i="4"/>
  <c r="G23" i="4"/>
  <c r="G25" i="4"/>
  <c r="G35" i="4"/>
  <c r="G53" i="4"/>
  <c r="G55" i="4"/>
  <c r="G57" i="4"/>
  <c r="G59" i="4"/>
  <c r="G62" i="4"/>
  <c r="G64" i="4"/>
  <c r="G68" i="4"/>
  <c r="G70" i="4"/>
  <c r="I4" i="4" l="1"/>
  <c r="D4" i="5" s="1"/>
  <c r="E4" i="5" s="1"/>
  <c r="I22" i="4"/>
  <c r="D5" i="5" s="1"/>
  <c r="E5" i="5" s="1"/>
  <c r="I39" i="4"/>
  <c r="D6" i="5" s="1"/>
  <c r="E6" i="5" s="1"/>
  <c r="G76" i="4"/>
  <c r="H76" i="4"/>
  <c r="I60" i="4"/>
  <c r="D8" i="5" s="1"/>
  <c r="E8" i="5" s="1"/>
  <c r="I51" i="4"/>
  <c r="D7" i="5" s="1"/>
  <c r="E7" i="5" s="1"/>
  <c r="I76" i="4" l="1"/>
  <c r="D10" i="5" s="1"/>
  <c r="E10" i="5"/>
</calcChain>
</file>

<file path=xl/sharedStrings.xml><?xml version="1.0" encoding="utf-8"?>
<sst xmlns="http://schemas.openxmlformats.org/spreadsheetml/2006/main" count="301" uniqueCount="149">
  <si>
    <t>How DRM anchor can use this tool?</t>
  </si>
  <si>
    <t xml:space="preserve">* Valid for individual tracks </t>
  </si>
  <si>
    <t>Only cells in white / no highlight need to be updated</t>
  </si>
  <si>
    <t>Legend</t>
  </si>
  <si>
    <t>Steady State Readiness Assessment Utility</t>
  </si>
  <si>
    <t>Color coded cells are colored formulaically</t>
  </si>
  <si>
    <t xml:space="preserve">Need to update [Readiness Parm Details] first - update "Weightage" and "Readiness" columns. In case an activity is 'Not applicable', update 'NA' for both weightage and readiness </t>
  </si>
  <si>
    <t>In [Readiness summary] - DRM remarks column with risk areas need to be updated</t>
  </si>
  <si>
    <t>Document Revision History</t>
  </si>
  <si>
    <t>Ver #</t>
  </si>
  <si>
    <t>Weightage factor</t>
  </si>
  <si>
    <t>Date</t>
  </si>
  <si>
    <t>Author</t>
  </si>
  <si>
    <t>Reviewer</t>
  </si>
  <si>
    <t>Comments</t>
  </si>
  <si>
    <t>Draft</t>
  </si>
  <si>
    <t>Jun, 2017</t>
  </si>
  <si>
    <t>Subrato</t>
  </si>
  <si>
    <t>Color 
Code</t>
  </si>
  <si>
    <t>initial version</t>
  </si>
  <si>
    <t>V1</t>
  </si>
  <si>
    <t>Jul, 2017</t>
  </si>
  <si>
    <t>Komal</t>
  </si>
  <si>
    <t>Framework review &amp; updates</t>
  </si>
  <si>
    <t>V2</t>
  </si>
  <si>
    <t>Readiness threshold (%)</t>
  </si>
  <si>
    <t>incorporated miscellaneous comments</t>
  </si>
  <si>
    <t>V3</t>
  </si>
  <si>
    <t>Lower range</t>
  </si>
  <si>
    <t>Median value</t>
  </si>
  <si>
    <t>Siva</t>
  </si>
  <si>
    <t>Customized for Verizon ADM program</t>
  </si>
  <si>
    <t>Weightage</t>
  </si>
  <si>
    <t>Keyword</t>
  </si>
  <si>
    <t>Factor</t>
  </si>
  <si>
    <t>Red</t>
  </si>
  <si>
    <t>DRM Anchor to update column D &amp; F as per program assessment.</t>
  </si>
  <si>
    <t>NA</t>
  </si>
  <si>
    <t>#</t>
  </si>
  <si>
    <t>Tracks</t>
  </si>
  <si>
    <t>Amber</t>
  </si>
  <si>
    <t>Activities / Milestone checkpoints</t>
  </si>
  <si>
    <t>Weightage applicability</t>
  </si>
  <si>
    <t>Readiness Color</t>
  </si>
  <si>
    <t>Readiness quotient (%)</t>
  </si>
  <si>
    <t>default weightage</t>
  </si>
  <si>
    <t>Total tasks weightage</t>
  </si>
  <si>
    <t>default</t>
  </si>
  <si>
    <t>Track score</t>
  </si>
  <si>
    <t>Yellow</t>
  </si>
  <si>
    <t>multiplier weightage</t>
  </si>
  <si>
    <t>increased</t>
  </si>
  <si>
    <t>Green</t>
  </si>
  <si>
    <t>Setup, Connectivity</t>
  </si>
  <si>
    <t>Connectivity, ports access obtained</t>
  </si>
  <si>
    <t>escalated weightage</t>
  </si>
  <si>
    <t>escalated</t>
  </si>
  <si>
    <t>Weightage applicability -  weightage needs to be applied based on how critical is the activity</t>
  </si>
  <si>
    <t>Readiness color - this needs to be populated based on the current status of an activity</t>
  </si>
  <si>
    <t>access approval to offshore for applications</t>
  </si>
  <si>
    <t>access, logins to applications, servers etc</t>
  </si>
  <si>
    <t>Access matrix and audit logs (who needs to have what level of access)</t>
  </si>
  <si>
    <t>Update column F to support the reason for RAG status in column E.</t>
  </si>
  <si>
    <t>Examples - Activities / Milestone checkpoints</t>
  </si>
  <si>
    <t>Environments (Online environments i.e. test, quality assurance, pilot, pre-production &amp; production, Batch environments)</t>
  </si>
  <si>
    <t>Composite Readiness Score</t>
  </si>
  <si>
    <t>Cardinal Status - by completion %</t>
  </si>
  <si>
    <t>Remarks</t>
  </si>
  <si>
    <t>Configuration control (Key interfaces in and out of the application including program details, , Source code location, Database detail location)</t>
  </si>
  <si>
    <t>Connectivity, ports, access, logins. 
Environments, Configuration control, 
Communication plan, escalation matrix, etc
Staffing, rosters</t>
  </si>
  <si>
    <t>Communication plan, SPOC / contact points</t>
  </si>
  <si>
    <t>Governance Structure, escalation matrix</t>
  </si>
  <si>
    <t>Transition / Transformation</t>
  </si>
  <si>
    <t>ODC / seating arrangement, transport logistics</t>
  </si>
  <si>
    <t>KT, RKT, documentation, acceptance, 
Secondary Support,  
SOPs, scehduled and batch processes, 
3rd party dependences, ticketing exceptions identified. 
Backlog handling plan agreed, Disaster Recovery</t>
  </si>
  <si>
    <t>ODC restriction handling readiness - e.g., min 4 people ODC</t>
  </si>
  <si>
    <t>Staffing, process - background check, on-boarding flow</t>
  </si>
  <si>
    <t>Support</t>
  </si>
  <si>
    <t>Primary Support clearance - defects / problems / tickets, 
independent resolution and handling, application restart</t>
  </si>
  <si>
    <t>Shift roster, leave plan (including on-call requirements and obtain pagers/cell phones)</t>
  </si>
  <si>
    <t>Configuration and setup - ITSM, etc</t>
  </si>
  <si>
    <t xml:space="preserve">ticketing Tool setup - access, configuration, problem clusters, routing, user groups, SLA reports </t>
  </si>
  <si>
    <t>shift handover process</t>
  </si>
  <si>
    <t>Client Agreement</t>
  </si>
  <si>
    <t>vendor agreements if any</t>
  </si>
  <si>
    <t>re-badged employee contracts</t>
  </si>
  <si>
    <t>S/W licenses</t>
  </si>
  <si>
    <t>Overall</t>
  </si>
  <si>
    <t>Overall Steady State Readiness Score</t>
  </si>
  <si>
    <t>Hardware (i.e. servers, workstations, printers etc) availability
Disaster recovery</t>
  </si>
  <si>
    <t>Training</t>
  </si>
  <si>
    <t>Knowledge Transfer (KT) acceptance signoff</t>
  </si>
  <si>
    <t>Reverse Knowledge Transfer (RKT) acceptance signoff</t>
  </si>
  <si>
    <t>Documentation (Document Repository Setup Signed Off. All documents should be at one central location and SME need to signoff on the same.)</t>
  </si>
  <si>
    <t>Acceptance of deliverables during KT (such as System Appreciation document)</t>
  </si>
  <si>
    <t>Secondary Support acceptance signoff</t>
  </si>
  <si>
    <t>Technical Recovery, Disaster Recovery procedures executed by the team. (KT is complete and all documents are available related to the same in document repository under separate folder)</t>
  </si>
  <si>
    <t>Standard Operating Procudure defined</t>
  </si>
  <si>
    <t>scehduled and batch processes</t>
  </si>
  <si>
    <t>3rd party dependences (including process/Procedures for interacting with all third party vendors defined)</t>
  </si>
  <si>
    <t>Incidents exceptions identified</t>
  </si>
  <si>
    <t>Incidents backlog handling plan agreed with customer</t>
  </si>
  <si>
    <t>Scope agreement</t>
  </si>
  <si>
    <t>Procedure for interaction with business / client has been finalized and agreed</t>
  </si>
  <si>
    <t>NIA automations - readiness</t>
  </si>
  <si>
    <t>Readiness for SOX/UAR/SOD needs identified and tracked (If the owner is Infosys then KT to be done and processes are to be documented)</t>
  </si>
  <si>
    <t>Readiness on security maven roles at application level (If the owner is Infosys then KT to be done and processes are to be documented)</t>
  </si>
  <si>
    <t>Contractual awareness - SLA, penalty, exclusion clauses, impact due to 3rd party</t>
  </si>
  <si>
    <t>Fixed defects / incidents of all severities (as per targets agreed in Secondary Support Acceptance) [Serv1, Serv2, P1, P2,etc]</t>
  </si>
  <si>
    <t>Fixed defects / incidents of all severities (as per targets agreed in Secondary Support Acceptance) [ End-Of-Period processes , Ad-hoc requests, Routine jobs / processes ]</t>
  </si>
  <si>
    <t>Fixed defects / incidents of all severities (as per targets agreed in Primary Support Acceptance) [Serv1, Serv2, P1, P2,etc]</t>
  </si>
  <si>
    <t>Fixed defects / incidents of all severities (as per targets agreed in Primary Support Acceptance) [Serv4, P3, P4,etc]</t>
  </si>
  <si>
    <t>Fixed defects / incidents of all severities (as per targets agreed in Priamry Support Acceptance) [ End-Of-Period processes , Ad-hoc requests, Routine jobs / processes ]</t>
  </si>
  <si>
    <t>Familiar with a Service Management Tool usage - Team has Tracked &amp; Resolved incidents, problems and ad-hoc requests using Service Management Tool  (incident logging, updating and closure)</t>
  </si>
  <si>
    <t xml:space="preserve">Team has used a Test Management Tool for Defect logging, Defect status updates and Defect closure </t>
  </si>
  <si>
    <t>Independent resolution and handling of incidence (as part of primary support)</t>
  </si>
  <si>
    <t>Team has done code promotion / deployment from support environment to production (code check-in, check-out, build and coordination with other groups)</t>
  </si>
  <si>
    <t>Application restart activities procedure defined and the activitieshave been performed by the team (for all applications)</t>
  </si>
  <si>
    <t>Team has resolved incidents involving 3rd party vendor interaction OR process for interacting with 3rd party has been understood from the incumbent team</t>
  </si>
  <si>
    <t>Infosys team has taken up the role of Change Coordinator</t>
  </si>
  <si>
    <t>Ticketing Tool setup - access</t>
  </si>
  <si>
    <t>Configuration of ticketing tool</t>
  </si>
  <si>
    <t>Problem tickets classification</t>
  </si>
  <si>
    <t>Routing of incidents</t>
  </si>
  <si>
    <t>User groups &amp; access to email group</t>
  </si>
  <si>
    <t>SLA reports, dashboard configuration (reporting procedure &amp; template agreed)</t>
  </si>
  <si>
    <t>SLA exceptions, exclusions</t>
  </si>
  <si>
    <t>Incident management process definition</t>
  </si>
  <si>
    <t>Team's awareness on ticketing tool &amp; SLAs</t>
  </si>
  <si>
    <t>Client Confidence</t>
  </si>
  <si>
    <t>Business / Client organization informed of support contacts</t>
  </si>
  <si>
    <t>Escalation procedure and contacts finalized and shared with the stakeholders</t>
  </si>
  <si>
    <t>Transition signoff</t>
  </si>
  <si>
    <t>Invoicing</t>
  </si>
  <si>
    <t>CSG feedback</t>
  </si>
  <si>
    <t>3rd Party Vendors informed of support contacts</t>
  </si>
  <si>
    <t>Dependencies on Incumbent vendor</t>
  </si>
  <si>
    <t>Contractual commitments - acceptance criteria met</t>
  </si>
  <si>
    <t>Status Reporting - Templates and process defined &amp; agreed</t>
  </si>
  <si>
    <t>all Transition milestones billed</t>
  </si>
  <si>
    <t>sign-off on key transition deliverables</t>
  </si>
  <si>
    <t>SLA performance during baseline period</t>
  </si>
  <si>
    <t>SLA Targets sign-off</t>
  </si>
  <si>
    <t>Misc</t>
  </si>
  <si>
    <t>Overall Score</t>
  </si>
  <si>
    <t>Oracle Grid and SQL Server Grid</t>
  </si>
  <si>
    <t>The above "Cardinal Status" values would all need to be GREEN to have Overall be GREEN</t>
  </si>
  <si>
    <t>Client perspective, client confidence, signoff, invoicing, feedback, dependencies, SLA Metrics</t>
  </si>
  <si>
    <t>Evaluating/Working through the AYS ticketing system to obtained required reporting to baseline SLA.
Currently limited on reporting capabilities.
Date of completion end of July.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</si>
</sst>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lt;&quot;\ 0%"/>
    <numFmt numFmtId="165" formatCode="&quot;&gt;=&quot;\ 0%"/>
  </numFmts>
  <fonts count="30">
    <font>
      <sz val="11"/>
      <color rgb="FF0000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8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  <font>
      <u/>
      <sz val="10"/>
      <name val="Arial"/>
    </font>
    <font>
      <sz val="11"/>
      <name val="Calibri"/>
    </font>
    <font>
      <b/>
      <u/>
      <sz val="16"/>
      <name val="Calibri"/>
    </font>
    <font>
      <b/>
      <sz val="10"/>
      <name val="Arial"/>
    </font>
    <font>
      <sz val="12"/>
      <color rgb="FF000000"/>
      <name val="Calibri"/>
    </font>
    <font>
      <sz val="10"/>
      <name val="Arial"/>
    </font>
    <font>
      <b/>
      <sz val="11"/>
      <color rgb="FF000000"/>
      <name val="Calibri"/>
    </font>
    <font>
      <b/>
      <sz val="10"/>
      <color rgb="FF000000"/>
      <name val="Calibri"/>
    </font>
    <font>
      <i/>
      <sz val="9"/>
      <color rgb="FF000000"/>
      <name val="Verdana"/>
    </font>
    <font>
      <sz val="10"/>
      <color rgb="FFFFFFFF"/>
      <name val="Calibri"/>
    </font>
    <font>
      <b/>
      <sz val="2"/>
      <color rgb="FFFFFFFF"/>
      <name val="Calibri"/>
    </font>
    <font>
      <b/>
      <sz val="14"/>
      <name val="Calibri"/>
    </font>
    <font>
      <sz val="10"/>
      <name val="Calibri"/>
    </font>
    <font>
      <b/>
      <sz val="9"/>
      <color rgb="FFFFFFFF"/>
      <name val="Verdana"/>
    </font>
    <font>
      <b/>
      <sz val="8"/>
      <name val="Verdana"/>
    </font>
    <font>
      <sz val="8"/>
      <name val="Verdana"/>
    </font>
    <font>
      <b/>
      <sz val="8"/>
      <color rgb="FF000000"/>
      <name val="Verdana"/>
    </font>
    <font>
      <sz val="10"/>
      <color rgb="FF000000"/>
      <name val="Verdana"/>
    </font>
    <font>
      <b/>
      <sz val="10"/>
      <color rgb="FF000000"/>
      <name val="Verdana"/>
    </font>
    <font>
      <b/>
      <sz val="9"/>
      <color rgb="FF000000"/>
      <name val="Verdana"/>
    </font>
    <font>
      <sz val="9"/>
      <color rgb="FF000000"/>
      <name val="Verdana"/>
    </font>
    <font>
      <i/>
      <sz val="8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002060"/>
        <bgColor rgb="FF002060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0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4" fillId="4" borderId="1" xfId="0" applyFont="1" applyFill="1" applyBorder="1"/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0" fillId="4" borderId="1" xfId="0" applyFont="1" applyFill="1" applyBorder="1"/>
    <xf numFmtId="0" fontId="4" fillId="2" borderId="1" xfId="0" applyFont="1" applyFill="1" applyBorder="1"/>
    <xf numFmtId="0" fontId="9" fillId="2" borderId="1" xfId="0" applyFont="1" applyFill="1" applyBorder="1"/>
    <xf numFmtId="0" fontId="9" fillId="2" borderId="5" xfId="0" applyFont="1" applyFill="1" applyBorder="1"/>
    <xf numFmtId="0" fontId="10" fillId="0" borderId="0" xfId="0" applyFont="1"/>
    <xf numFmtId="0" fontId="11" fillId="4" borderId="6" xfId="0" applyFont="1" applyFill="1" applyBorder="1"/>
    <xf numFmtId="2" fontId="11" fillId="2" borderId="6" xfId="0" applyNumberFormat="1" applyFont="1" applyFill="1" applyBorder="1" applyAlignment="1">
      <alignment vertical="center"/>
    </xf>
    <xf numFmtId="15" fontId="11" fillId="2" borderId="6" xfId="0" applyNumberFormat="1" applyFont="1" applyFill="1" applyBorder="1" applyAlignment="1">
      <alignment vertical="center"/>
    </xf>
    <xf numFmtId="0" fontId="11" fillId="2" borderId="6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5" fontId="11" fillId="2" borderId="6" xfId="0" applyNumberFormat="1" applyFont="1" applyFill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0" fillId="2" borderId="6" xfId="0" applyFont="1" applyFill="1" applyBorder="1"/>
    <xf numFmtId="0" fontId="0" fillId="0" borderId="0" xfId="0" applyFont="1"/>
    <xf numFmtId="0" fontId="13" fillId="0" borderId="12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14" fillId="0" borderId="0" xfId="0" applyFont="1"/>
    <xf numFmtId="9" fontId="4" fillId="0" borderId="1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9" fontId="4" fillId="0" borderId="17" xfId="0" applyNumberFormat="1" applyFont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 vertical="center"/>
    </xf>
    <xf numFmtId="0" fontId="4" fillId="6" borderId="23" xfId="0" applyFont="1" applyFill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164" fontId="4" fillId="3" borderId="22" xfId="0" applyNumberFormat="1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65" fontId="4" fillId="3" borderId="22" xfId="0" applyNumberFormat="1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9" fontId="4" fillId="3" borderId="22" xfId="0" applyNumberFormat="1" applyFont="1" applyFill="1" applyBorder="1" applyAlignment="1">
      <alignment horizontal="center" vertical="center"/>
    </xf>
    <xf numFmtId="9" fontId="18" fillId="0" borderId="25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vertical="center" wrapText="1"/>
    </xf>
    <xf numFmtId="0" fontId="19" fillId="5" borderId="28" xfId="0" applyFont="1" applyFill="1" applyBorder="1" applyAlignment="1">
      <alignment horizontal="center" vertical="center"/>
    </xf>
    <xf numFmtId="0" fontId="19" fillId="5" borderId="29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 wrapText="1"/>
    </xf>
    <xf numFmtId="0" fontId="19" fillId="5" borderId="29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20" fillId="6" borderId="31" xfId="0" applyFont="1" applyFill="1" applyBorder="1" applyAlignment="1">
      <alignment vertical="center" wrapText="1"/>
    </xf>
    <xf numFmtId="0" fontId="21" fillId="6" borderId="32" xfId="0" applyFont="1" applyFill="1" applyBorder="1" applyAlignment="1">
      <alignment vertical="center" wrapText="1"/>
    </xf>
    <xf numFmtId="10" fontId="20" fillId="6" borderId="31" xfId="0" applyNumberFormat="1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vertical="center" wrapText="1"/>
    </xf>
    <xf numFmtId="0" fontId="20" fillId="6" borderId="34" xfId="0" applyFont="1" applyFill="1" applyBorder="1" applyAlignment="1">
      <alignment vertical="center" wrapText="1"/>
    </xf>
    <xf numFmtId="0" fontId="21" fillId="6" borderId="17" xfId="0" applyFont="1" applyFill="1" applyBorder="1" applyAlignment="1">
      <alignment vertical="center" wrapText="1"/>
    </xf>
    <xf numFmtId="10" fontId="20" fillId="6" borderId="34" xfId="0" applyNumberFormat="1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1" fillId="0" borderId="35" xfId="0" applyFont="1" applyBorder="1" applyAlignment="1">
      <alignment vertical="center" wrapText="1"/>
    </xf>
    <xf numFmtId="0" fontId="20" fillId="6" borderId="26" xfId="0" applyFont="1" applyFill="1" applyBorder="1" applyAlignment="1">
      <alignment vertical="center" wrapText="1"/>
    </xf>
    <xf numFmtId="0" fontId="21" fillId="6" borderId="22" xfId="0" applyFont="1" applyFill="1" applyBorder="1" applyAlignment="1">
      <alignment vertical="center" wrapText="1"/>
    </xf>
    <xf numFmtId="10" fontId="20" fillId="6" borderId="26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3" fillId="0" borderId="0" xfId="0" applyFont="1"/>
    <xf numFmtId="10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7" borderId="36" xfId="0" applyFont="1" applyFill="1" applyBorder="1" applyAlignment="1">
      <alignment vertical="center"/>
    </xf>
    <xf numFmtId="0" fontId="19" fillId="7" borderId="11" xfId="0" applyFont="1" applyFill="1" applyBorder="1" applyAlignment="1">
      <alignment horizontal="center" vertical="center" wrapText="1"/>
    </xf>
    <xf numFmtId="10" fontId="19" fillId="7" borderId="20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0" fillId="0" borderId="37" xfId="0" applyFont="1" applyBorder="1"/>
    <xf numFmtId="0" fontId="27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 wrapText="1"/>
    </xf>
    <xf numFmtId="9" fontId="18" fillId="0" borderId="6" xfId="0" applyNumberFormat="1" applyFont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 wrapText="1"/>
    </xf>
    <xf numFmtId="10" fontId="17" fillId="3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10" fontId="28" fillId="3" borderId="1" xfId="0" applyNumberFormat="1" applyFont="1" applyFill="1" applyBorder="1" applyAlignment="1">
      <alignment horizontal="center" vertical="center"/>
    </xf>
    <xf numFmtId="0" fontId="29" fillId="0" borderId="6" xfId="0" applyFont="1" applyBorder="1" applyAlignment="1">
      <alignment horizontal="left"/>
    </xf>
    <xf numFmtId="0" fontId="5" fillId="3" borderId="7" xfId="0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17" fillId="6" borderId="24" xfId="0" applyFont="1" applyFill="1" applyBorder="1" applyAlignment="1">
      <alignment horizontal="center" vertical="center" textRotation="90" wrapText="1"/>
    </xf>
    <xf numFmtId="0" fontId="7" fillId="0" borderId="27" xfId="0" applyFont="1" applyBorder="1"/>
    <xf numFmtId="0" fontId="7" fillId="0" borderId="25" xfId="0" applyFont="1" applyBorder="1"/>
    <xf numFmtId="0" fontId="17" fillId="6" borderId="38" xfId="0" applyFont="1" applyFill="1" applyBorder="1" applyAlignment="1">
      <alignment horizontal="center" vertical="center" textRotation="90" wrapText="1"/>
    </xf>
    <xf numFmtId="0" fontId="17" fillId="3" borderId="38" xfId="0" applyFont="1" applyFill="1" applyBorder="1" applyAlignment="1">
      <alignment horizontal="center" vertical="center" wrapText="1"/>
    </xf>
    <xf numFmtId="10" fontId="17" fillId="3" borderId="38" xfId="0" applyNumberFormat="1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10" fontId="17" fillId="3" borderId="2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E10" sqref="E10"/>
    </sheetView>
  </sheetViews>
  <sheetFormatPr defaultColWidth="14.42578125" defaultRowHeight="15" customHeight="1"/>
  <cols>
    <col min="1" max="1" width="9.140625" customWidth="1"/>
    <col min="2" max="2" width="9.28515625" customWidth="1"/>
    <col min="3" max="3" width="9.42578125" customWidth="1"/>
    <col min="4" max="4" width="13.85546875" customWidth="1"/>
    <col min="5" max="5" width="16.7109375" customWidth="1"/>
    <col min="6" max="6" width="43.85546875" customWidth="1"/>
    <col min="7" max="26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>
      <c r="A5" s="1"/>
      <c r="B5" s="6"/>
      <c r="C5" s="1"/>
      <c r="D5" s="1"/>
      <c r="E5" s="7" t="s">
        <v>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9"/>
      <c r="C7" s="10"/>
      <c r="D7" s="10"/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0" t="s">
        <v>8</v>
      </c>
      <c r="C8" s="11"/>
      <c r="D8" s="11"/>
      <c r="E8" s="11"/>
      <c r="F8" s="1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3" t="s">
        <v>9</v>
      </c>
      <c r="C9" s="13" t="s">
        <v>11</v>
      </c>
      <c r="D9" s="13" t="s">
        <v>12</v>
      </c>
      <c r="E9" s="13" t="s">
        <v>13</v>
      </c>
      <c r="F9" s="13" t="s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4" t="s">
        <v>15</v>
      </c>
      <c r="C10" s="15" t="s">
        <v>16</v>
      </c>
      <c r="D10" s="16" t="s">
        <v>17</v>
      </c>
      <c r="E10" s="17"/>
      <c r="F10" s="16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4" t="s">
        <v>20</v>
      </c>
      <c r="C11" s="15" t="s">
        <v>21</v>
      </c>
      <c r="D11" s="16"/>
      <c r="E11" s="17" t="s">
        <v>22</v>
      </c>
      <c r="F11" s="16" t="s">
        <v>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4" t="s">
        <v>24</v>
      </c>
      <c r="C12" s="19">
        <v>42930</v>
      </c>
      <c r="D12" s="16" t="s">
        <v>17</v>
      </c>
      <c r="E12" s="17"/>
      <c r="F12" s="16" t="s">
        <v>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1" t="s">
        <v>27</v>
      </c>
      <c r="C13" s="19">
        <v>43538</v>
      </c>
      <c r="D13" s="21" t="s">
        <v>30</v>
      </c>
      <c r="E13" s="21"/>
      <c r="F13" s="16" t="s">
        <v>31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0"/>
  <sheetViews>
    <sheetView workbookViewId="0"/>
  </sheetViews>
  <sheetFormatPr defaultColWidth="14.42578125" defaultRowHeight="15" customHeight="1"/>
  <cols>
    <col min="1" max="1" width="4.5703125" customWidth="1"/>
    <col min="2" max="26" width="8.7109375" customWidth="1"/>
  </cols>
  <sheetData>
    <row r="1" spans="2:11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</row>
    <row r="2" spans="2:11">
      <c r="B2" s="5" t="s">
        <v>2</v>
      </c>
      <c r="C2" s="8"/>
      <c r="D2" s="8"/>
      <c r="E2" s="8"/>
      <c r="F2" s="8"/>
      <c r="G2" s="8"/>
      <c r="H2" s="8"/>
      <c r="I2" s="8"/>
      <c r="J2" s="8"/>
      <c r="K2" s="8"/>
    </row>
    <row r="3" spans="2:11">
      <c r="B3" s="5" t="s">
        <v>5</v>
      </c>
      <c r="C3" s="8"/>
      <c r="D3" s="8"/>
      <c r="E3" s="8"/>
      <c r="F3" s="8"/>
      <c r="G3" s="8"/>
      <c r="H3" s="8"/>
      <c r="I3" s="8"/>
      <c r="J3" s="8"/>
      <c r="K3" s="8"/>
    </row>
    <row r="4" spans="2:11">
      <c r="B4" s="5" t="s">
        <v>6</v>
      </c>
      <c r="C4" s="8"/>
      <c r="D4" s="8"/>
      <c r="E4" s="8"/>
      <c r="F4" s="8"/>
      <c r="G4" s="8"/>
      <c r="H4" s="8"/>
      <c r="I4" s="8"/>
      <c r="J4" s="8"/>
      <c r="K4" s="8"/>
    </row>
    <row r="5" spans="2:11">
      <c r="B5" s="5" t="s">
        <v>7</v>
      </c>
      <c r="C5" s="8"/>
      <c r="D5" s="8"/>
      <c r="E5" s="8"/>
      <c r="F5" s="8"/>
      <c r="G5" s="8"/>
      <c r="H5" s="8"/>
      <c r="I5" s="8"/>
      <c r="J5" s="8"/>
      <c r="K5" s="8"/>
    </row>
    <row r="6" spans="2:11">
      <c r="B6" s="5"/>
      <c r="C6" s="8"/>
      <c r="D6" s="8"/>
      <c r="E6" s="8"/>
      <c r="F6" s="8"/>
      <c r="G6" s="8"/>
      <c r="H6" s="8"/>
      <c r="I6" s="8"/>
      <c r="J6" s="8"/>
      <c r="K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000"/>
  <sheetViews>
    <sheetView workbookViewId="0">
      <selection activeCell="F7" sqref="F7"/>
    </sheetView>
  </sheetViews>
  <sheetFormatPr defaultColWidth="14.42578125" defaultRowHeight="15" customHeight="1"/>
  <cols>
    <col min="1" max="1" width="12.28515625" customWidth="1"/>
    <col min="2" max="2" width="6.85546875" customWidth="1"/>
    <col min="3" max="3" width="12.28515625" customWidth="1"/>
    <col min="4" max="4" width="15.5703125" customWidth="1"/>
    <col min="5" max="26" width="12.28515625" customWidth="1"/>
  </cols>
  <sheetData>
    <row r="1" spans="3:10" ht="28.5" customHeight="1">
      <c r="C1" s="4" t="s">
        <v>1</v>
      </c>
    </row>
    <row r="2" spans="3:10" ht="28.5" customHeight="1">
      <c r="C2" s="103" t="s">
        <v>3</v>
      </c>
      <c r="D2" s="104"/>
      <c r="E2" s="104"/>
      <c r="F2" s="105"/>
      <c r="G2" s="12"/>
      <c r="H2" s="100" t="s">
        <v>10</v>
      </c>
      <c r="I2" s="101"/>
      <c r="J2" s="102"/>
    </row>
    <row r="3" spans="3:10" ht="42" customHeight="1">
      <c r="C3" s="18" t="s">
        <v>18</v>
      </c>
      <c r="D3" s="20" t="s">
        <v>25</v>
      </c>
      <c r="E3" s="20" t="s">
        <v>28</v>
      </c>
      <c r="F3" s="20" t="s">
        <v>29</v>
      </c>
      <c r="G3" s="22"/>
      <c r="H3" s="18" t="s">
        <v>32</v>
      </c>
      <c r="I3" s="18" t="s">
        <v>33</v>
      </c>
      <c r="J3" s="20" t="s">
        <v>34</v>
      </c>
    </row>
    <row r="4" spans="3:10" ht="28.5" customHeight="1">
      <c r="C4" s="23" t="s">
        <v>35</v>
      </c>
      <c r="D4" s="24">
        <v>0.75</v>
      </c>
      <c r="E4" s="25">
        <v>0</v>
      </c>
      <c r="F4" s="27">
        <f t="shared" ref="F4:F8" si="0">(D4+E4)/2</f>
        <v>0.375</v>
      </c>
      <c r="H4" s="28" t="s">
        <v>37</v>
      </c>
      <c r="I4" s="28" t="s">
        <v>37</v>
      </c>
      <c r="J4" s="30">
        <v>0</v>
      </c>
    </row>
    <row r="5" spans="3:10" ht="28.5" customHeight="1">
      <c r="C5" s="32" t="s">
        <v>40</v>
      </c>
      <c r="D5" s="34">
        <v>0.85</v>
      </c>
      <c r="E5" s="36">
        <v>0.75</v>
      </c>
      <c r="F5" s="38">
        <f t="shared" si="0"/>
        <v>0.8</v>
      </c>
      <c r="H5" s="40" t="s">
        <v>45</v>
      </c>
      <c r="I5" s="40" t="s">
        <v>47</v>
      </c>
      <c r="J5" s="42">
        <v>1</v>
      </c>
    </row>
    <row r="6" spans="3:10" ht="28.5" customHeight="1">
      <c r="C6" s="32" t="s">
        <v>49</v>
      </c>
      <c r="D6" s="34">
        <v>0.98</v>
      </c>
      <c r="E6" s="36">
        <v>0.85</v>
      </c>
      <c r="F6" s="38">
        <f t="shared" si="0"/>
        <v>0.91500000000000004</v>
      </c>
      <c r="H6" s="40" t="s">
        <v>50</v>
      </c>
      <c r="I6" s="40" t="s">
        <v>51</v>
      </c>
      <c r="J6" s="42">
        <v>3</v>
      </c>
    </row>
    <row r="7" spans="3:10" ht="28.5" customHeight="1">
      <c r="C7" s="44" t="s">
        <v>52</v>
      </c>
      <c r="D7" s="45">
        <v>1</v>
      </c>
      <c r="E7" s="47">
        <v>0.98</v>
      </c>
      <c r="F7" s="48">
        <f t="shared" si="0"/>
        <v>0.99</v>
      </c>
      <c r="H7" s="50" t="s">
        <v>55</v>
      </c>
      <c r="I7" s="50" t="s">
        <v>56</v>
      </c>
      <c r="J7" s="52">
        <v>5</v>
      </c>
    </row>
    <row r="8" spans="3:10" ht="28.5" customHeight="1">
      <c r="C8" s="53" t="s">
        <v>37</v>
      </c>
      <c r="D8" s="54">
        <v>1</v>
      </c>
      <c r="E8" s="56">
        <v>0</v>
      </c>
      <c r="F8" s="58">
        <f t="shared" si="0"/>
        <v>0.5</v>
      </c>
    </row>
    <row r="9" spans="3:10" ht="28.5" customHeight="1"/>
    <row r="10" spans="3:10" ht="14.25" customHeight="1">
      <c r="H10" t="s">
        <v>57</v>
      </c>
    </row>
    <row r="11" spans="3:10" ht="15" customHeight="1">
      <c r="H11" t="s">
        <v>58</v>
      </c>
    </row>
    <row r="12" spans="3:10" ht="28.5" customHeight="1"/>
    <row r="13" spans="3:10" ht="28.5" customHeight="1"/>
    <row r="14" spans="3:10" ht="28.5" customHeight="1"/>
    <row r="15" spans="3:10" ht="28.5" customHeight="1"/>
    <row r="16" spans="3:10" ht="28.5" customHeight="1"/>
    <row r="17" ht="28.5" customHeight="1"/>
    <row r="18" ht="28.5" customHeight="1"/>
    <row r="19" ht="28.5" customHeight="1"/>
    <row r="20" ht="28.5" customHeight="1"/>
    <row r="21" ht="28.5" customHeight="1"/>
    <row r="22" ht="28.5" customHeight="1"/>
    <row r="23" ht="28.5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28.5" customHeight="1"/>
    <row r="214" ht="28.5" customHeight="1"/>
    <row r="215" ht="28.5" customHeight="1"/>
    <row r="216" ht="28.5" customHeight="1"/>
    <row r="217" ht="28.5" customHeight="1"/>
    <row r="218" ht="28.5" customHeight="1"/>
    <row r="219" ht="28.5" customHeight="1"/>
    <row r="220" ht="28.5" customHeight="1"/>
    <row r="221" ht="28.5" customHeight="1"/>
    <row r="222" ht="28.5" customHeight="1"/>
    <row r="223" ht="28.5" customHeight="1"/>
    <row r="224" ht="28.5" customHeight="1"/>
    <row r="225" ht="28.5" customHeight="1"/>
    <row r="226" ht="28.5" customHeight="1"/>
    <row r="227" ht="28.5" customHeight="1"/>
    <row r="228" ht="28.5" customHeight="1"/>
    <row r="229" ht="28.5" customHeight="1"/>
    <row r="230" ht="28.5" customHeight="1"/>
    <row r="231" ht="28.5" customHeight="1"/>
    <row r="232" ht="28.5" customHeight="1"/>
    <row r="233" ht="28.5" customHeight="1"/>
    <row r="234" ht="28.5" customHeight="1"/>
    <row r="235" ht="28.5" customHeight="1"/>
    <row r="236" ht="28.5" customHeight="1"/>
    <row r="237" ht="28.5" customHeight="1"/>
    <row r="238" ht="28.5" customHeight="1"/>
    <row r="239" ht="28.5" customHeight="1"/>
    <row r="240" ht="28.5" customHeight="1"/>
    <row r="241" ht="28.5" customHeight="1"/>
    <row r="242" ht="28.5" customHeight="1"/>
    <row r="243" ht="28.5" customHeight="1"/>
    <row r="244" ht="28.5" customHeight="1"/>
    <row r="245" ht="28.5" customHeight="1"/>
    <row r="246" ht="28.5" customHeight="1"/>
    <row r="247" ht="28.5" customHeight="1"/>
    <row r="248" ht="28.5" customHeight="1"/>
    <row r="249" ht="28.5" customHeight="1"/>
    <row r="250" ht="28.5" customHeight="1"/>
    <row r="251" ht="28.5" customHeight="1"/>
    <row r="252" ht="28.5" customHeight="1"/>
    <row r="253" ht="28.5" customHeight="1"/>
    <row r="254" ht="28.5" customHeight="1"/>
    <row r="255" ht="28.5" customHeight="1"/>
    <row r="256" ht="28.5" customHeight="1"/>
    <row r="257" ht="28.5" customHeight="1"/>
    <row r="258" ht="28.5" customHeight="1"/>
    <row r="259" ht="28.5" customHeight="1"/>
    <row r="260" ht="28.5" customHeight="1"/>
    <row r="261" ht="28.5" customHeight="1"/>
    <row r="262" ht="28.5" customHeight="1"/>
    <row r="263" ht="28.5" customHeight="1"/>
    <row r="264" ht="28.5" customHeight="1"/>
    <row r="265" ht="28.5" customHeight="1"/>
    <row r="266" ht="28.5" customHeight="1"/>
    <row r="267" ht="28.5" customHeight="1"/>
    <row r="268" ht="28.5" customHeight="1"/>
    <row r="269" ht="28.5" customHeight="1"/>
    <row r="270" ht="28.5" customHeight="1"/>
    <row r="271" ht="28.5" customHeight="1"/>
    <row r="272" ht="28.5" customHeight="1"/>
    <row r="273" ht="28.5" customHeight="1"/>
    <row r="274" ht="28.5" customHeight="1"/>
    <row r="275" ht="28.5" customHeight="1"/>
    <row r="276" ht="28.5" customHeight="1"/>
    <row r="277" ht="28.5" customHeight="1"/>
    <row r="278" ht="28.5" customHeight="1"/>
    <row r="279" ht="28.5" customHeight="1"/>
    <row r="280" ht="28.5" customHeight="1"/>
    <row r="281" ht="28.5" customHeight="1"/>
    <row r="282" ht="28.5" customHeight="1"/>
    <row r="283" ht="28.5" customHeight="1"/>
    <row r="284" ht="28.5" customHeight="1"/>
    <row r="285" ht="28.5" customHeight="1"/>
    <row r="286" ht="28.5" customHeight="1"/>
    <row r="287" ht="28.5" customHeight="1"/>
    <row r="288" ht="28.5" customHeight="1"/>
    <row r="289" ht="28.5" customHeight="1"/>
    <row r="290" ht="28.5" customHeight="1"/>
    <row r="291" ht="28.5" customHeight="1"/>
    <row r="292" ht="28.5" customHeight="1"/>
    <row r="293" ht="28.5" customHeight="1"/>
    <row r="294" ht="28.5" customHeight="1"/>
    <row r="295" ht="28.5" customHeight="1"/>
    <row r="296" ht="28.5" customHeight="1"/>
    <row r="297" ht="28.5" customHeight="1"/>
    <row r="298" ht="28.5" customHeight="1"/>
    <row r="299" ht="28.5" customHeight="1"/>
    <row r="300" ht="28.5" customHeight="1"/>
    <row r="301" ht="28.5" customHeight="1"/>
    <row r="302" ht="28.5" customHeight="1"/>
    <row r="303" ht="28.5" customHeight="1"/>
    <row r="304" ht="28.5" customHeight="1"/>
    <row r="305" ht="28.5" customHeight="1"/>
    <row r="306" ht="28.5" customHeight="1"/>
    <row r="307" ht="28.5" customHeight="1"/>
    <row r="308" ht="28.5" customHeight="1"/>
    <row r="309" ht="28.5" customHeight="1"/>
    <row r="310" ht="28.5" customHeight="1"/>
    <row r="311" ht="28.5" customHeight="1"/>
    <row r="312" ht="28.5" customHeight="1"/>
    <row r="313" ht="28.5" customHeight="1"/>
    <row r="314" ht="28.5" customHeight="1"/>
    <row r="315" ht="28.5" customHeight="1"/>
    <row r="316" ht="28.5" customHeight="1"/>
    <row r="317" ht="28.5" customHeight="1"/>
    <row r="318" ht="28.5" customHeight="1"/>
    <row r="319" ht="28.5" customHeight="1"/>
    <row r="320" ht="28.5" customHeight="1"/>
    <row r="321" ht="28.5" customHeight="1"/>
    <row r="322" ht="28.5" customHeight="1"/>
    <row r="323" ht="28.5" customHeight="1"/>
    <row r="324" ht="28.5" customHeight="1"/>
    <row r="325" ht="28.5" customHeight="1"/>
    <row r="326" ht="28.5" customHeight="1"/>
    <row r="327" ht="28.5" customHeight="1"/>
    <row r="328" ht="28.5" customHeight="1"/>
    <row r="329" ht="28.5" customHeight="1"/>
    <row r="330" ht="28.5" customHeight="1"/>
    <row r="331" ht="28.5" customHeight="1"/>
    <row r="332" ht="28.5" customHeight="1"/>
    <row r="333" ht="28.5" customHeight="1"/>
    <row r="334" ht="28.5" customHeight="1"/>
    <row r="335" ht="28.5" customHeight="1"/>
    <row r="336" ht="28.5" customHeight="1"/>
    <row r="337" ht="28.5" customHeight="1"/>
    <row r="338" ht="28.5" customHeight="1"/>
    <row r="339" ht="28.5" customHeight="1"/>
    <row r="340" ht="28.5" customHeight="1"/>
    <row r="341" ht="28.5" customHeight="1"/>
    <row r="342" ht="28.5" customHeight="1"/>
    <row r="343" ht="28.5" customHeight="1"/>
    <row r="344" ht="28.5" customHeight="1"/>
    <row r="345" ht="28.5" customHeight="1"/>
    <row r="346" ht="28.5" customHeight="1"/>
    <row r="347" ht="28.5" customHeight="1"/>
    <row r="348" ht="28.5" customHeight="1"/>
    <row r="349" ht="28.5" customHeight="1"/>
    <row r="350" ht="28.5" customHeight="1"/>
    <row r="351" ht="28.5" customHeight="1"/>
    <row r="352" ht="28.5" customHeight="1"/>
    <row r="353" ht="28.5" customHeight="1"/>
    <row r="354" ht="28.5" customHeight="1"/>
    <row r="355" ht="28.5" customHeight="1"/>
    <row r="356" ht="28.5" customHeight="1"/>
    <row r="357" ht="28.5" customHeight="1"/>
    <row r="358" ht="28.5" customHeight="1"/>
    <row r="359" ht="28.5" customHeight="1"/>
    <row r="360" ht="28.5" customHeight="1"/>
    <row r="361" ht="28.5" customHeight="1"/>
    <row r="362" ht="28.5" customHeight="1"/>
    <row r="363" ht="28.5" customHeight="1"/>
    <row r="364" ht="28.5" customHeight="1"/>
    <row r="365" ht="28.5" customHeight="1"/>
    <row r="366" ht="28.5" customHeight="1"/>
    <row r="367" ht="28.5" customHeight="1"/>
    <row r="368" ht="28.5" customHeight="1"/>
    <row r="369" ht="28.5" customHeight="1"/>
    <row r="370" ht="28.5" customHeight="1"/>
    <row r="371" ht="28.5" customHeight="1"/>
    <row r="372" ht="28.5" customHeight="1"/>
    <row r="373" ht="28.5" customHeight="1"/>
    <row r="374" ht="28.5" customHeight="1"/>
    <row r="375" ht="28.5" customHeight="1"/>
    <row r="376" ht="28.5" customHeight="1"/>
    <row r="377" ht="28.5" customHeight="1"/>
    <row r="378" ht="28.5" customHeight="1"/>
    <row r="379" ht="28.5" customHeight="1"/>
    <row r="380" ht="28.5" customHeight="1"/>
    <row r="381" ht="28.5" customHeight="1"/>
    <row r="382" ht="28.5" customHeight="1"/>
    <row r="383" ht="28.5" customHeight="1"/>
    <row r="384" ht="28.5" customHeight="1"/>
    <row r="385" ht="28.5" customHeight="1"/>
    <row r="386" ht="28.5" customHeight="1"/>
    <row r="387" ht="28.5" customHeight="1"/>
    <row r="388" ht="28.5" customHeight="1"/>
    <row r="389" ht="28.5" customHeight="1"/>
    <row r="390" ht="28.5" customHeight="1"/>
    <row r="391" ht="28.5" customHeight="1"/>
    <row r="392" ht="28.5" customHeight="1"/>
    <row r="393" ht="28.5" customHeight="1"/>
    <row r="394" ht="28.5" customHeight="1"/>
    <row r="395" ht="28.5" customHeight="1"/>
    <row r="396" ht="28.5" customHeight="1"/>
    <row r="397" ht="28.5" customHeight="1"/>
    <row r="398" ht="28.5" customHeight="1"/>
    <row r="399" ht="28.5" customHeight="1"/>
    <row r="400" ht="28.5" customHeight="1"/>
    <row r="401" ht="28.5" customHeight="1"/>
    <row r="402" ht="28.5" customHeight="1"/>
    <row r="403" ht="28.5" customHeight="1"/>
    <row r="404" ht="28.5" customHeight="1"/>
    <row r="405" ht="28.5" customHeight="1"/>
    <row r="406" ht="28.5" customHeight="1"/>
    <row r="407" ht="28.5" customHeight="1"/>
    <row r="408" ht="28.5" customHeight="1"/>
    <row r="409" ht="28.5" customHeight="1"/>
    <row r="410" ht="28.5" customHeight="1"/>
    <row r="411" ht="28.5" customHeight="1"/>
    <row r="412" ht="28.5" customHeight="1"/>
    <row r="413" ht="28.5" customHeight="1"/>
    <row r="414" ht="28.5" customHeight="1"/>
    <row r="415" ht="28.5" customHeight="1"/>
    <row r="416" ht="28.5" customHeight="1"/>
    <row r="417" ht="28.5" customHeight="1"/>
    <row r="418" ht="28.5" customHeight="1"/>
    <row r="419" ht="28.5" customHeight="1"/>
    <row r="420" ht="28.5" customHeight="1"/>
    <row r="421" ht="28.5" customHeight="1"/>
    <row r="422" ht="28.5" customHeight="1"/>
    <row r="423" ht="28.5" customHeight="1"/>
    <row r="424" ht="28.5" customHeight="1"/>
    <row r="425" ht="28.5" customHeight="1"/>
    <row r="426" ht="28.5" customHeight="1"/>
    <row r="427" ht="28.5" customHeight="1"/>
    <row r="428" ht="28.5" customHeight="1"/>
    <row r="429" ht="28.5" customHeight="1"/>
    <row r="430" ht="28.5" customHeight="1"/>
    <row r="431" ht="28.5" customHeight="1"/>
    <row r="432" ht="28.5" customHeight="1"/>
    <row r="433" ht="28.5" customHeight="1"/>
    <row r="434" ht="28.5" customHeight="1"/>
    <row r="435" ht="28.5" customHeight="1"/>
    <row r="436" ht="28.5" customHeight="1"/>
    <row r="437" ht="28.5" customHeight="1"/>
    <row r="438" ht="28.5" customHeight="1"/>
    <row r="439" ht="28.5" customHeight="1"/>
    <row r="440" ht="28.5" customHeight="1"/>
    <row r="441" ht="28.5" customHeight="1"/>
    <row r="442" ht="28.5" customHeight="1"/>
    <row r="443" ht="28.5" customHeight="1"/>
    <row r="444" ht="28.5" customHeight="1"/>
    <row r="445" ht="28.5" customHeight="1"/>
    <row r="446" ht="28.5" customHeight="1"/>
    <row r="447" ht="28.5" customHeight="1"/>
    <row r="448" ht="28.5" customHeight="1"/>
    <row r="449" ht="28.5" customHeight="1"/>
    <row r="450" ht="28.5" customHeight="1"/>
    <row r="451" ht="28.5" customHeight="1"/>
    <row r="452" ht="28.5" customHeight="1"/>
    <row r="453" ht="28.5" customHeight="1"/>
    <row r="454" ht="28.5" customHeight="1"/>
    <row r="455" ht="28.5" customHeight="1"/>
    <row r="456" ht="28.5" customHeight="1"/>
    <row r="457" ht="28.5" customHeight="1"/>
    <row r="458" ht="28.5" customHeight="1"/>
    <row r="459" ht="28.5" customHeight="1"/>
    <row r="460" ht="28.5" customHeight="1"/>
    <row r="461" ht="28.5" customHeight="1"/>
    <row r="462" ht="28.5" customHeight="1"/>
    <row r="463" ht="28.5" customHeight="1"/>
    <row r="464" ht="28.5" customHeight="1"/>
    <row r="465" ht="28.5" customHeight="1"/>
    <row r="466" ht="28.5" customHeight="1"/>
    <row r="467" ht="28.5" customHeight="1"/>
    <row r="468" ht="28.5" customHeight="1"/>
    <row r="469" ht="28.5" customHeight="1"/>
    <row r="470" ht="28.5" customHeight="1"/>
    <row r="471" ht="28.5" customHeight="1"/>
    <row r="472" ht="28.5" customHeight="1"/>
    <row r="473" ht="28.5" customHeight="1"/>
    <row r="474" ht="28.5" customHeight="1"/>
    <row r="475" ht="28.5" customHeight="1"/>
    <row r="476" ht="28.5" customHeight="1"/>
    <row r="477" ht="28.5" customHeight="1"/>
    <row r="478" ht="28.5" customHeight="1"/>
    <row r="479" ht="28.5" customHeight="1"/>
    <row r="480" ht="28.5" customHeight="1"/>
    <row r="481" ht="28.5" customHeight="1"/>
    <row r="482" ht="28.5" customHeight="1"/>
    <row r="483" ht="28.5" customHeight="1"/>
    <row r="484" ht="28.5" customHeight="1"/>
    <row r="485" ht="28.5" customHeight="1"/>
    <row r="486" ht="28.5" customHeight="1"/>
    <row r="487" ht="28.5" customHeight="1"/>
    <row r="488" ht="28.5" customHeight="1"/>
    <row r="489" ht="28.5" customHeight="1"/>
    <row r="490" ht="28.5" customHeight="1"/>
    <row r="491" ht="28.5" customHeight="1"/>
    <row r="492" ht="28.5" customHeight="1"/>
    <row r="493" ht="28.5" customHeight="1"/>
    <row r="494" ht="28.5" customHeight="1"/>
    <row r="495" ht="28.5" customHeight="1"/>
    <row r="496" ht="28.5" customHeight="1"/>
    <row r="497" ht="28.5" customHeight="1"/>
    <row r="498" ht="28.5" customHeight="1"/>
    <row r="499" ht="28.5" customHeight="1"/>
    <row r="500" ht="28.5" customHeight="1"/>
    <row r="501" ht="28.5" customHeight="1"/>
    <row r="502" ht="28.5" customHeight="1"/>
    <row r="503" ht="28.5" customHeight="1"/>
    <row r="504" ht="28.5" customHeight="1"/>
    <row r="505" ht="28.5" customHeight="1"/>
    <row r="506" ht="28.5" customHeight="1"/>
    <row r="507" ht="28.5" customHeight="1"/>
    <row r="508" ht="28.5" customHeight="1"/>
    <row r="509" ht="28.5" customHeight="1"/>
    <row r="510" ht="28.5" customHeight="1"/>
    <row r="511" ht="28.5" customHeight="1"/>
    <row r="512" ht="28.5" customHeight="1"/>
    <row r="513" ht="28.5" customHeight="1"/>
    <row r="514" ht="28.5" customHeight="1"/>
    <row r="515" ht="28.5" customHeight="1"/>
    <row r="516" ht="28.5" customHeight="1"/>
    <row r="517" ht="28.5" customHeight="1"/>
    <row r="518" ht="28.5" customHeight="1"/>
    <row r="519" ht="28.5" customHeight="1"/>
    <row r="520" ht="28.5" customHeight="1"/>
    <row r="521" ht="28.5" customHeight="1"/>
    <row r="522" ht="28.5" customHeight="1"/>
    <row r="523" ht="28.5" customHeight="1"/>
    <row r="524" ht="28.5" customHeight="1"/>
    <row r="525" ht="28.5" customHeight="1"/>
    <row r="526" ht="28.5" customHeight="1"/>
    <row r="527" ht="28.5" customHeight="1"/>
    <row r="528" ht="28.5" customHeight="1"/>
    <row r="529" ht="28.5" customHeight="1"/>
    <row r="530" ht="28.5" customHeight="1"/>
    <row r="531" ht="28.5" customHeight="1"/>
    <row r="532" ht="28.5" customHeight="1"/>
    <row r="533" ht="28.5" customHeight="1"/>
    <row r="534" ht="28.5" customHeight="1"/>
    <row r="535" ht="28.5" customHeight="1"/>
    <row r="536" ht="28.5" customHeight="1"/>
    <row r="537" ht="28.5" customHeight="1"/>
    <row r="538" ht="28.5" customHeight="1"/>
    <row r="539" ht="28.5" customHeight="1"/>
    <row r="540" ht="28.5" customHeight="1"/>
    <row r="541" ht="28.5" customHeight="1"/>
    <row r="542" ht="28.5" customHeight="1"/>
    <row r="543" ht="28.5" customHeight="1"/>
    <row r="544" ht="28.5" customHeight="1"/>
    <row r="545" ht="28.5" customHeight="1"/>
    <row r="546" ht="28.5" customHeight="1"/>
    <row r="547" ht="28.5" customHeight="1"/>
    <row r="548" ht="28.5" customHeight="1"/>
    <row r="549" ht="28.5" customHeight="1"/>
    <row r="550" ht="28.5" customHeight="1"/>
    <row r="551" ht="28.5" customHeight="1"/>
    <row r="552" ht="28.5" customHeight="1"/>
    <row r="553" ht="28.5" customHeight="1"/>
    <row r="554" ht="28.5" customHeight="1"/>
    <row r="555" ht="28.5" customHeight="1"/>
    <row r="556" ht="28.5" customHeight="1"/>
    <row r="557" ht="28.5" customHeight="1"/>
    <row r="558" ht="28.5" customHeight="1"/>
    <row r="559" ht="28.5" customHeight="1"/>
    <row r="560" ht="28.5" customHeight="1"/>
    <row r="561" ht="28.5" customHeight="1"/>
    <row r="562" ht="28.5" customHeight="1"/>
    <row r="563" ht="28.5" customHeight="1"/>
    <row r="564" ht="28.5" customHeight="1"/>
    <row r="565" ht="28.5" customHeight="1"/>
    <row r="566" ht="28.5" customHeight="1"/>
    <row r="567" ht="28.5" customHeight="1"/>
    <row r="568" ht="28.5" customHeight="1"/>
    <row r="569" ht="28.5" customHeight="1"/>
    <row r="570" ht="28.5" customHeight="1"/>
    <row r="571" ht="28.5" customHeight="1"/>
    <row r="572" ht="28.5" customHeight="1"/>
    <row r="573" ht="28.5" customHeight="1"/>
    <row r="574" ht="28.5" customHeight="1"/>
    <row r="575" ht="28.5" customHeight="1"/>
    <row r="576" ht="28.5" customHeight="1"/>
    <row r="577" ht="28.5" customHeight="1"/>
    <row r="578" ht="28.5" customHeight="1"/>
    <row r="579" ht="28.5" customHeight="1"/>
    <row r="580" ht="28.5" customHeight="1"/>
    <row r="581" ht="28.5" customHeight="1"/>
    <row r="582" ht="28.5" customHeight="1"/>
    <row r="583" ht="28.5" customHeight="1"/>
    <row r="584" ht="28.5" customHeight="1"/>
    <row r="585" ht="28.5" customHeight="1"/>
    <row r="586" ht="28.5" customHeight="1"/>
    <row r="587" ht="28.5" customHeight="1"/>
    <row r="588" ht="28.5" customHeight="1"/>
    <row r="589" ht="28.5" customHeight="1"/>
    <row r="590" ht="28.5" customHeight="1"/>
    <row r="591" ht="28.5" customHeight="1"/>
    <row r="592" ht="28.5" customHeight="1"/>
    <row r="593" ht="28.5" customHeight="1"/>
    <row r="594" ht="28.5" customHeight="1"/>
    <row r="595" ht="28.5" customHeight="1"/>
    <row r="596" ht="28.5" customHeight="1"/>
    <row r="597" ht="28.5" customHeight="1"/>
    <row r="598" ht="28.5" customHeight="1"/>
    <row r="599" ht="28.5" customHeight="1"/>
    <row r="600" ht="28.5" customHeight="1"/>
    <row r="601" ht="28.5" customHeight="1"/>
    <row r="602" ht="28.5" customHeight="1"/>
    <row r="603" ht="28.5" customHeight="1"/>
    <row r="604" ht="28.5" customHeight="1"/>
    <row r="605" ht="28.5" customHeight="1"/>
    <row r="606" ht="28.5" customHeight="1"/>
    <row r="607" ht="28.5" customHeight="1"/>
    <row r="608" ht="28.5" customHeight="1"/>
    <row r="609" ht="28.5" customHeight="1"/>
    <row r="610" ht="28.5" customHeight="1"/>
    <row r="611" ht="28.5" customHeight="1"/>
    <row r="612" ht="28.5" customHeight="1"/>
    <row r="613" ht="28.5" customHeight="1"/>
    <row r="614" ht="28.5" customHeight="1"/>
    <row r="615" ht="28.5" customHeight="1"/>
    <row r="616" ht="28.5" customHeight="1"/>
    <row r="617" ht="28.5" customHeight="1"/>
    <row r="618" ht="28.5" customHeight="1"/>
    <row r="619" ht="28.5" customHeight="1"/>
    <row r="620" ht="28.5" customHeight="1"/>
    <row r="621" ht="28.5" customHeight="1"/>
    <row r="622" ht="28.5" customHeight="1"/>
    <row r="623" ht="28.5" customHeight="1"/>
    <row r="624" ht="28.5" customHeight="1"/>
    <row r="625" ht="28.5" customHeight="1"/>
    <row r="626" ht="28.5" customHeight="1"/>
    <row r="627" ht="28.5" customHeight="1"/>
    <row r="628" ht="28.5" customHeight="1"/>
    <row r="629" ht="28.5" customHeight="1"/>
    <row r="630" ht="28.5" customHeight="1"/>
    <row r="631" ht="28.5" customHeight="1"/>
    <row r="632" ht="28.5" customHeight="1"/>
    <row r="633" ht="28.5" customHeight="1"/>
    <row r="634" ht="28.5" customHeight="1"/>
    <row r="635" ht="28.5" customHeight="1"/>
    <row r="636" ht="28.5" customHeight="1"/>
    <row r="637" ht="28.5" customHeight="1"/>
    <row r="638" ht="28.5" customHeight="1"/>
    <row r="639" ht="28.5" customHeight="1"/>
    <row r="640" ht="28.5" customHeight="1"/>
    <row r="641" ht="28.5" customHeight="1"/>
    <row r="642" ht="28.5" customHeight="1"/>
    <row r="643" ht="28.5" customHeight="1"/>
    <row r="644" ht="28.5" customHeight="1"/>
    <row r="645" ht="28.5" customHeight="1"/>
    <row r="646" ht="28.5" customHeight="1"/>
    <row r="647" ht="28.5" customHeight="1"/>
    <row r="648" ht="28.5" customHeight="1"/>
    <row r="649" ht="28.5" customHeight="1"/>
    <row r="650" ht="28.5" customHeight="1"/>
    <row r="651" ht="28.5" customHeight="1"/>
    <row r="652" ht="28.5" customHeight="1"/>
    <row r="653" ht="28.5" customHeight="1"/>
    <row r="654" ht="28.5" customHeight="1"/>
    <row r="655" ht="28.5" customHeight="1"/>
    <row r="656" ht="28.5" customHeight="1"/>
    <row r="657" ht="28.5" customHeight="1"/>
    <row r="658" ht="28.5" customHeight="1"/>
    <row r="659" ht="28.5" customHeight="1"/>
    <row r="660" ht="28.5" customHeight="1"/>
    <row r="661" ht="28.5" customHeight="1"/>
    <row r="662" ht="28.5" customHeight="1"/>
    <row r="663" ht="28.5" customHeight="1"/>
    <row r="664" ht="28.5" customHeight="1"/>
    <row r="665" ht="28.5" customHeight="1"/>
    <row r="666" ht="28.5" customHeight="1"/>
    <row r="667" ht="28.5" customHeight="1"/>
    <row r="668" ht="28.5" customHeight="1"/>
    <row r="669" ht="28.5" customHeight="1"/>
    <row r="670" ht="28.5" customHeight="1"/>
    <row r="671" ht="28.5" customHeight="1"/>
    <row r="672" ht="28.5" customHeight="1"/>
    <row r="673" ht="28.5" customHeight="1"/>
    <row r="674" ht="28.5" customHeight="1"/>
    <row r="675" ht="28.5" customHeight="1"/>
    <row r="676" ht="28.5" customHeight="1"/>
    <row r="677" ht="28.5" customHeight="1"/>
    <row r="678" ht="28.5" customHeight="1"/>
    <row r="679" ht="28.5" customHeight="1"/>
    <row r="680" ht="28.5" customHeight="1"/>
    <row r="681" ht="28.5" customHeight="1"/>
    <row r="682" ht="28.5" customHeight="1"/>
    <row r="683" ht="28.5" customHeight="1"/>
    <row r="684" ht="28.5" customHeight="1"/>
    <row r="685" ht="28.5" customHeight="1"/>
    <row r="686" ht="28.5" customHeight="1"/>
    <row r="687" ht="28.5" customHeight="1"/>
    <row r="688" ht="28.5" customHeight="1"/>
    <row r="689" ht="28.5" customHeight="1"/>
    <row r="690" ht="28.5" customHeight="1"/>
    <row r="691" ht="28.5" customHeight="1"/>
    <row r="692" ht="28.5" customHeight="1"/>
    <row r="693" ht="28.5" customHeight="1"/>
    <row r="694" ht="28.5" customHeight="1"/>
    <row r="695" ht="28.5" customHeight="1"/>
    <row r="696" ht="28.5" customHeight="1"/>
    <row r="697" ht="28.5" customHeight="1"/>
    <row r="698" ht="28.5" customHeight="1"/>
    <row r="699" ht="28.5" customHeight="1"/>
    <row r="700" ht="28.5" customHeight="1"/>
    <row r="701" ht="28.5" customHeight="1"/>
    <row r="702" ht="28.5" customHeight="1"/>
    <row r="703" ht="28.5" customHeight="1"/>
    <row r="704" ht="28.5" customHeight="1"/>
    <row r="705" ht="28.5" customHeight="1"/>
    <row r="706" ht="28.5" customHeight="1"/>
    <row r="707" ht="28.5" customHeight="1"/>
    <row r="708" ht="28.5" customHeight="1"/>
    <row r="709" ht="28.5" customHeight="1"/>
    <row r="710" ht="28.5" customHeight="1"/>
    <row r="711" ht="28.5" customHeight="1"/>
    <row r="712" ht="28.5" customHeight="1"/>
    <row r="713" ht="28.5" customHeight="1"/>
    <row r="714" ht="28.5" customHeight="1"/>
    <row r="715" ht="28.5" customHeight="1"/>
    <row r="716" ht="28.5" customHeight="1"/>
    <row r="717" ht="28.5" customHeight="1"/>
    <row r="718" ht="28.5" customHeight="1"/>
    <row r="719" ht="28.5" customHeight="1"/>
    <row r="720" ht="28.5" customHeight="1"/>
    <row r="721" ht="28.5" customHeight="1"/>
    <row r="722" ht="28.5" customHeight="1"/>
    <row r="723" ht="28.5" customHeight="1"/>
    <row r="724" ht="28.5" customHeight="1"/>
    <row r="725" ht="28.5" customHeight="1"/>
    <row r="726" ht="28.5" customHeight="1"/>
    <row r="727" ht="28.5" customHeight="1"/>
    <row r="728" ht="28.5" customHeight="1"/>
    <row r="729" ht="28.5" customHeight="1"/>
    <row r="730" ht="28.5" customHeight="1"/>
    <row r="731" ht="28.5" customHeight="1"/>
    <row r="732" ht="28.5" customHeight="1"/>
    <row r="733" ht="28.5" customHeight="1"/>
    <row r="734" ht="28.5" customHeight="1"/>
    <row r="735" ht="28.5" customHeight="1"/>
    <row r="736" ht="28.5" customHeight="1"/>
    <row r="737" ht="28.5" customHeight="1"/>
    <row r="738" ht="28.5" customHeight="1"/>
    <row r="739" ht="28.5" customHeight="1"/>
    <row r="740" ht="28.5" customHeight="1"/>
    <row r="741" ht="28.5" customHeight="1"/>
    <row r="742" ht="28.5" customHeight="1"/>
    <row r="743" ht="28.5" customHeight="1"/>
    <row r="744" ht="28.5" customHeight="1"/>
    <row r="745" ht="28.5" customHeight="1"/>
    <row r="746" ht="28.5" customHeight="1"/>
    <row r="747" ht="28.5" customHeight="1"/>
    <row r="748" ht="28.5" customHeight="1"/>
    <row r="749" ht="28.5" customHeight="1"/>
    <row r="750" ht="28.5" customHeight="1"/>
    <row r="751" ht="28.5" customHeight="1"/>
    <row r="752" ht="28.5" customHeight="1"/>
    <row r="753" ht="28.5" customHeight="1"/>
    <row r="754" ht="28.5" customHeight="1"/>
    <row r="755" ht="28.5" customHeight="1"/>
    <row r="756" ht="28.5" customHeight="1"/>
    <row r="757" ht="28.5" customHeight="1"/>
    <row r="758" ht="28.5" customHeight="1"/>
    <row r="759" ht="28.5" customHeight="1"/>
    <row r="760" ht="28.5" customHeight="1"/>
    <row r="761" ht="28.5" customHeight="1"/>
    <row r="762" ht="28.5" customHeight="1"/>
    <row r="763" ht="28.5" customHeight="1"/>
    <row r="764" ht="28.5" customHeight="1"/>
    <row r="765" ht="28.5" customHeight="1"/>
    <row r="766" ht="28.5" customHeight="1"/>
    <row r="767" ht="28.5" customHeight="1"/>
    <row r="768" ht="28.5" customHeight="1"/>
    <row r="769" ht="28.5" customHeight="1"/>
    <row r="770" ht="28.5" customHeight="1"/>
    <row r="771" ht="28.5" customHeight="1"/>
    <row r="772" ht="28.5" customHeight="1"/>
    <row r="773" ht="28.5" customHeight="1"/>
    <row r="774" ht="28.5" customHeight="1"/>
    <row r="775" ht="28.5" customHeight="1"/>
    <row r="776" ht="28.5" customHeight="1"/>
    <row r="777" ht="28.5" customHeight="1"/>
    <row r="778" ht="28.5" customHeight="1"/>
    <row r="779" ht="28.5" customHeight="1"/>
    <row r="780" ht="28.5" customHeight="1"/>
    <row r="781" ht="28.5" customHeight="1"/>
    <row r="782" ht="28.5" customHeight="1"/>
    <row r="783" ht="28.5" customHeight="1"/>
    <row r="784" ht="28.5" customHeight="1"/>
    <row r="785" ht="28.5" customHeight="1"/>
    <row r="786" ht="28.5" customHeight="1"/>
    <row r="787" ht="28.5" customHeight="1"/>
    <row r="788" ht="28.5" customHeight="1"/>
    <row r="789" ht="28.5" customHeight="1"/>
    <row r="790" ht="28.5" customHeight="1"/>
    <row r="791" ht="28.5" customHeight="1"/>
    <row r="792" ht="28.5" customHeight="1"/>
    <row r="793" ht="28.5" customHeight="1"/>
    <row r="794" ht="28.5" customHeight="1"/>
    <row r="795" ht="28.5" customHeight="1"/>
    <row r="796" ht="28.5" customHeight="1"/>
    <row r="797" ht="28.5" customHeight="1"/>
    <row r="798" ht="28.5" customHeight="1"/>
    <row r="799" ht="28.5" customHeight="1"/>
    <row r="800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</sheetData>
  <mergeCells count="2">
    <mergeCell ref="H2:J2"/>
    <mergeCell ref="C2:F2"/>
  </mergeCells>
  <conditionalFormatting sqref="C4:C8">
    <cfRule type="cellIs" dxfId="16" priority="1" operator="equal">
      <formula>"RED"</formula>
    </cfRule>
  </conditionalFormatting>
  <conditionalFormatting sqref="C4:C8">
    <cfRule type="cellIs" dxfId="15" priority="2" operator="equal">
      <formula>"Amber"</formula>
    </cfRule>
  </conditionalFormatting>
  <conditionalFormatting sqref="C4:C8">
    <cfRule type="cellIs" dxfId="14" priority="3" operator="equal">
      <formula>"Yellow"</formula>
    </cfRule>
  </conditionalFormatting>
  <conditionalFormatting sqref="C4:C8">
    <cfRule type="cellIs" dxfId="13" priority="4" operator="equal">
      <formula>"Green"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abSelected="1" workbookViewId="0">
      <pane xSplit="3" ySplit="3" topLeftCell="D19" activePane="bottomRight" state="frozen"/>
      <selection activeCell="E10" sqref="E10"/>
      <selection pane="topRight" activeCell="E10" sqref="E10"/>
      <selection pane="bottomLeft" activeCell="E10" sqref="E10"/>
      <selection pane="bottomRight" activeCell="B3" sqref="B3"/>
    </sheetView>
  </sheetViews>
  <sheetFormatPr defaultColWidth="14.42578125" defaultRowHeight="15" customHeight="1"/>
  <cols>
    <col min="1" max="1" width="10.42578125" customWidth="1"/>
    <col min="2" max="2" width="21.5703125" customWidth="1"/>
    <col min="3" max="3" width="52.7109375" customWidth="1"/>
    <col min="4" max="4" width="10.85546875" customWidth="1"/>
    <col min="5" max="5" width="6.140625" hidden="1" customWidth="1"/>
    <col min="6" max="6" width="10.5703125" customWidth="1"/>
    <col min="7" max="7" width="0.140625" customWidth="1"/>
    <col min="8" max="8" width="11.7109375" customWidth="1"/>
    <col min="9" max="9" width="13.140625" customWidth="1"/>
    <col min="10" max="10" width="56.5703125" bestFit="1" customWidth="1"/>
    <col min="11" max="26" width="8.7109375" customWidth="1"/>
  </cols>
  <sheetData>
    <row r="1" spans="1:9">
      <c r="A1" s="26" t="s">
        <v>36</v>
      </c>
    </row>
    <row r="2" spans="1:9" ht="15.75">
      <c r="A2" s="99" t="s">
        <v>145</v>
      </c>
    </row>
    <row r="3" spans="1:9" ht="25.5" customHeight="1">
      <c r="A3" s="29" t="s">
        <v>38</v>
      </c>
      <c r="B3" s="31" t="s">
        <v>39</v>
      </c>
      <c r="C3" s="33" t="s">
        <v>41</v>
      </c>
      <c r="D3" s="33" t="s">
        <v>42</v>
      </c>
      <c r="E3" s="35" t="s">
        <v>10</v>
      </c>
      <c r="F3" s="37" t="s">
        <v>43</v>
      </c>
      <c r="G3" s="39" t="s">
        <v>44</v>
      </c>
      <c r="H3" s="41" t="s">
        <v>46</v>
      </c>
      <c r="I3" s="43" t="s">
        <v>48</v>
      </c>
    </row>
    <row r="4" spans="1:9">
      <c r="A4" s="46">
        <v>1</v>
      </c>
      <c r="B4" s="106" t="s">
        <v>53</v>
      </c>
      <c r="C4" s="49" t="s">
        <v>54</v>
      </c>
      <c r="D4" s="51" t="s">
        <v>47</v>
      </c>
      <c r="E4" s="55">
        <f>VLOOKUP(D4,Legend!I$4:J$7,2,FALSE)</f>
        <v>1</v>
      </c>
      <c r="F4" s="57" t="s">
        <v>52</v>
      </c>
      <c r="G4" s="59">
        <f>VLOOKUP(F4,Legend!C$4:F$8,4,FALSE)</f>
        <v>0.99</v>
      </c>
      <c r="H4" s="112">
        <f>SUM(E4:E21)</f>
        <v>15</v>
      </c>
      <c r="I4" s="113">
        <f>SUMPRODUCT(E4:E21,G4:G21)/H4</f>
        <v>0.9900000000000001</v>
      </c>
    </row>
    <row r="5" spans="1:9">
      <c r="A5" s="46">
        <v>2</v>
      </c>
      <c r="B5" s="107"/>
      <c r="C5" s="49" t="s">
        <v>59</v>
      </c>
      <c r="D5" s="51" t="s">
        <v>37</v>
      </c>
      <c r="E5" s="55">
        <v>1</v>
      </c>
      <c r="F5" s="57" t="s">
        <v>52</v>
      </c>
      <c r="G5" s="59">
        <f>VLOOKUP(F5,Legend!C$4:F$8,4,FALSE)</f>
        <v>0.99</v>
      </c>
      <c r="H5" s="107"/>
      <c r="I5" s="107"/>
    </row>
    <row r="6" spans="1:9">
      <c r="A6" s="46">
        <v>3</v>
      </c>
      <c r="B6" s="107"/>
      <c r="C6" s="60" t="s">
        <v>60</v>
      </c>
      <c r="D6" s="55" t="s">
        <v>47</v>
      </c>
      <c r="E6" s="55">
        <f>VLOOKUP(D6,Legend!I$4:J$7,2,FALSE)</f>
        <v>1</v>
      </c>
      <c r="F6" s="57" t="s">
        <v>52</v>
      </c>
      <c r="G6" s="59">
        <f>VLOOKUP(F6,Legend!C$4:F$8,4,FALSE)</f>
        <v>0.99</v>
      </c>
      <c r="H6" s="107"/>
      <c r="I6" s="107"/>
    </row>
    <row r="7" spans="1:9" ht="25.5">
      <c r="A7" s="46">
        <v>4</v>
      </c>
      <c r="B7" s="107"/>
      <c r="C7" s="60" t="s">
        <v>61</v>
      </c>
      <c r="D7" s="51" t="s">
        <v>47</v>
      </c>
      <c r="E7" s="55">
        <f>VLOOKUP(D7,Legend!I$4:J$7,2,FALSE)</f>
        <v>1</v>
      </c>
      <c r="F7" s="57" t="s">
        <v>52</v>
      </c>
      <c r="G7" s="59">
        <f>VLOOKUP(F7,Legend!C$4:F$8,4,FALSE)</f>
        <v>0.99</v>
      </c>
      <c r="H7" s="107"/>
      <c r="I7" s="107"/>
    </row>
    <row r="8" spans="1:9" ht="25.5">
      <c r="A8" s="46">
        <v>5</v>
      </c>
      <c r="B8" s="107"/>
      <c r="C8" s="60" t="s">
        <v>64</v>
      </c>
      <c r="D8" s="55" t="s">
        <v>47</v>
      </c>
      <c r="E8" s="55">
        <f>VLOOKUP(D8,Legend!I$4:J$7,2,FALSE)</f>
        <v>1</v>
      </c>
      <c r="F8" s="57" t="s">
        <v>52</v>
      </c>
      <c r="G8" s="59">
        <f>VLOOKUP(F8,Legend!C$4:F$8,4,FALSE)</f>
        <v>0.99</v>
      </c>
      <c r="H8" s="107"/>
      <c r="I8" s="107"/>
    </row>
    <row r="9" spans="1:9" ht="38.25">
      <c r="A9" s="46">
        <v>6</v>
      </c>
      <c r="B9" s="107"/>
      <c r="C9" s="60" t="s">
        <v>68</v>
      </c>
      <c r="D9" s="55" t="s">
        <v>47</v>
      </c>
      <c r="E9" s="55">
        <f>VLOOKUP(D9,Legend!I$4:J$7,2,FALSE)</f>
        <v>1</v>
      </c>
      <c r="F9" s="57" t="s">
        <v>52</v>
      </c>
      <c r="G9" s="59">
        <f>VLOOKUP(F9,Legend!C$4:F$8,4,FALSE)</f>
        <v>0.99</v>
      </c>
      <c r="H9" s="107"/>
      <c r="I9" s="107"/>
    </row>
    <row r="10" spans="1:9">
      <c r="A10" s="46">
        <v>7</v>
      </c>
      <c r="B10" s="107"/>
      <c r="C10" s="60" t="s">
        <v>70</v>
      </c>
      <c r="D10" s="55" t="s">
        <v>47</v>
      </c>
      <c r="E10" s="55">
        <f>VLOOKUP(D10,Legend!I$4:J$7,2,FALSE)</f>
        <v>1</v>
      </c>
      <c r="F10" s="57" t="s">
        <v>52</v>
      </c>
      <c r="G10" s="59">
        <f>VLOOKUP(F10,Legend!C$4:F$8,4,FALSE)</f>
        <v>0.99</v>
      </c>
      <c r="H10" s="107"/>
      <c r="I10" s="107"/>
    </row>
    <row r="11" spans="1:9">
      <c r="A11" s="46">
        <v>8</v>
      </c>
      <c r="B11" s="107"/>
      <c r="C11" s="60" t="s">
        <v>71</v>
      </c>
      <c r="D11" s="55" t="s">
        <v>47</v>
      </c>
      <c r="E11" s="55">
        <f>VLOOKUP(D11,Legend!I$4:J$7,2,FALSE)</f>
        <v>1</v>
      </c>
      <c r="F11" s="57" t="s">
        <v>52</v>
      </c>
      <c r="G11" s="59">
        <f>VLOOKUP(F11,Legend!C$4:F$8,4,FALSE)</f>
        <v>0.99</v>
      </c>
      <c r="H11" s="107"/>
      <c r="I11" s="107"/>
    </row>
    <row r="12" spans="1:9">
      <c r="A12" s="46">
        <v>9</v>
      </c>
      <c r="B12" s="107"/>
      <c r="C12" s="60" t="s">
        <v>73</v>
      </c>
      <c r="D12" s="55" t="s">
        <v>37</v>
      </c>
      <c r="E12" s="55">
        <f>VLOOKUP(D12,Legend!I$4:J$7,2,FALSE)</f>
        <v>0</v>
      </c>
      <c r="F12" s="57" t="s">
        <v>37</v>
      </c>
      <c r="G12" s="59">
        <f>VLOOKUP(F12,Legend!C$4:F$8,4,FALSE)</f>
        <v>0.5</v>
      </c>
      <c r="H12" s="107"/>
      <c r="I12" s="107"/>
    </row>
    <row r="13" spans="1:9">
      <c r="A13" s="46">
        <v>10</v>
      </c>
      <c r="B13" s="107"/>
      <c r="C13" s="60" t="s">
        <v>75</v>
      </c>
      <c r="D13" s="55" t="s">
        <v>37</v>
      </c>
      <c r="E13" s="55">
        <f>VLOOKUP(D13,Legend!I$4:J$7,2,FALSE)</f>
        <v>0</v>
      </c>
      <c r="F13" s="57" t="s">
        <v>37</v>
      </c>
      <c r="G13" s="59">
        <f>VLOOKUP(F13,Legend!C$4:F$8,4,FALSE)</f>
        <v>0.5</v>
      </c>
      <c r="H13" s="107"/>
      <c r="I13" s="107"/>
    </row>
    <row r="14" spans="1:9">
      <c r="A14" s="46">
        <v>11</v>
      </c>
      <c r="B14" s="107"/>
      <c r="C14" s="60" t="s">
        <v>76</v>
      </c>
      <c r="D14" s="55" t="s">
        <v>47</v>
      </c>
      <c r="E14" s="55">
        <f>VLOOKUP(D14,Legend!I$4:J$7,2,FALSE)</f>
        <v>1</v>
      </c>
      <c r="F14" s="57" t="s">
        <v>52</v>
      </c>
      <c r="G14" s="59">
        <f>VLOOKUP(F14,Legend!C$4:F$8,4,FALSE)</f>
        <v>0.99</v>
      </c>
      <c r="H14" s="107"/>
      <c r="I14" s="107"/>
    </row>
    <row r="15" spans="1:9" ht="25.5">
      <c r="A15" s="46">
        <v>12</v>
      </c>
      <c r="B15" s="107"/>
      <c r="C15" s="60" t="s">
        <v>79</v>
      </c>
      <c r="D15" s="55" t="s">
        <v>47</v>
      </c>
      <c r="E15" s="55">
        <f>VLOOKUP(D15,Legend!I$4:J$7,2,FALSE)</f>
        <v>1</v>
      </c>
      <c r="F15" s="57" t="s">
        <v>52</v>
      </c>
      <c r="G15" s="59">
        <f>VLOOKUP(F15,Legend!C$4:F$8,4,FALSE)</f>
        <v>0.99</v>
      </c>
      <c r="H15" s="107"/>
      <c r="I15" s="107"/>
    </row>
    <row r="16" spans="1:9">
      <c r="A16" s="46">
        <v>13</v>
      </c>
      <c r="B16" s="107"/>
      <c r="C16" s="60" t="s">
        <v>82</v>
      </c>
      <c r="D16" s="55" t="s">
        <v>47</v>
      </c>
      <c r="E16" s="55">
        <f>VLOOKUP(D16,Legend!I$4:J$7,2,FALSE)</f>
        <v>1</v>
      </c>
      <c r="F16" s="57" t="s">
        <v>52</v>
      </c>
      <c r="G16" s="59">
        <f>VLOOKUP(F16,Legend!C$4:F$8,4,FALSE)</f>
        <v>0.99</v>
      </c>
      <c r="H16" s="107"/>
      <c r="I16" s="107"/>
    </row>
    <row r="17" spans="1:9">
      <c r="A17" s="46">
        <v>14</v>
      </c>
      <c r="B17" s="107"/>
      <c r="C17" s="60" t="s">
        <v>84</v>
      </c>
      <c r="D17" s="55" t="s">
        <v>37</v>
      </c>
      <c r="E17" s="55">
        <f>VLOOKUP(D17,Legend!I$4:J$7,2,FALSE)</f>
        <v>0</v>
      </c>
      <c r="F17" s="57" t="s">
        <v>37</v>
      </c>
      <c r="G17" s="59">
        <f>VLOOKUP(F17,Legend!C$4:F$8,4,FALSE)</f>
        <v>0.5</v>
      </c>
      <c r="H17" s="107"/>
      <c r="I17" s="107"/>
    </row>
    <row r="18" spans="1:9">
      <c r="A18" s="46">
        <v>15</v>
      </c>
      <c r="B18" s="107"/>
      <c r="C18" s="60" t="s">
        <v>85</v>
      </c>
      <c r="D18" s="55" t="s">
        <v>47</v>
      </c>
      <c r="E18" s="55">
        <f>VLOOKUP(D18,Legend!I$4:J$7,2,FALSE)</f>
        <v>1</v>
      </c>
      <c r="F18" s="57" t="s">
        <v>52</v>
      </c>
      <c r="G18" s="59">
        <f>VLOOKUP(F18,Legend!C$4:F$8,4,FALSE)</f>
        <v>0.99</v>
      </c>
      <c r="H18" s="107"/>
      <c r="I18" s="107"/>
    </row>
    <row r="19" spans="1:9">
      <c r="A19" s="46">
        <v>16</v>
      </c>
      <c r="B19" s="107"/>
      <c r="C19" s="60" t="s">
        <v>86</v>
      </c>
      <c r="D19" s="55" t="s">
        <v>47</v>
      </c>
      <c r="E19" s="55">
        <f>VLOOKUP(D19,Legend!I$4:J$7,2,FALSE)</f>
        <v>1</v>
      </c>
      <c r="F19" s="57" t="s">
        <v>52</v>
      </c>
      <c r="G19" s="59">
        <f>VLOOKUP(F19,Legend!C$4:F$8,4,FALSE)</f>
        <v>0.99</v>
      </c>
      <c r="H19" s="107"/>
      <c r="I19" s="107"/>
    </row>
    <row r="20" spans="1:9" ht="25.5">
      <c r="A20" s="46">
        <v>17</v>
      </c>
      <c r="B20" s="107"/>
      <c r="C20" s="60" t="s">
        <v>89</v>
      </c>
      <c r="D20" s="55" t="s">
        <v>47</v>
      </c>
      <c r="E20" s="55">
        <f>VLOOKUP(D20,Legend!I$4:J$7,2,FALSE)</f>
        <v>1</v>
      </c>
      <c r="F20" s="57" t="s">
        <v>52</v>
      </c>
      <c r="G20" s="59">
        <f>VLOOKUP(F20,Legend!C$4:F$8,4,FALSE)</f>
        <v>0.99</v>
      </c>
      <c r="H20" s="107"/>
      <c r="I20" s="107"/>
    </row>
    <row r="21" spans="1:9" ht="15.75" customHeight="1">
      <c r="A21" s="46">
        <v>18</v>
      </c>
      <c r="B21" s="108"/>
      <c r="C21" s="60" t="s">
        <v>90</v>
      </c>
      <c r="D21" s="55" t="s">
        <v>47</v>
      </c>
      <c r="E21" s="55">
        <f>VLOOKUP(D21,Legend!I$4:J$7,2,FALSE)</f>
        <v>1</v>
      </c>
      <c r="F21" s="57" t="s">
        <v>52</v>
      </c>
      <c r="G21" s="59">
        <f>VLOOKUP(F21,Legend!C$4:F$8,4,FALSE)</f>
        <v>0.99</v>
      </c>
      <c r="H21" s="108"/>
      <c r="I21" s="108"/>
    </row>
    <row r="22" spans="1:9" ht="15" customHeight="1">
      <c r="A22" s="46">
        <v>19</v>
      </c>
      <c r="B22" s="109" t="s">
        <v>72</v>
      </c>
      <c r="C22" s="60" t="s">
        <v>91</v>
      </c>
      <c r="D22" s="55" t="s">
        <v>47</v>
      </c>
      <c r="E22" s="55">
        <f>VLOOKUP(D22,Legend!I$4:J$7,2,FALSE)</f>
        <v>1</v>
      </c>
      <c r="F22" s="57" t="s">
        <v>52</v>
      </c>
      <c r="G22" s="59">
        <f>VLOOKUP(F22,Legend!C$4:F$8,4,FALSE)</f>
        <v>0.99</v>
      </c>
      <c r="H22" s="110">
        <f>SUM(E22:E38)</f>
        <v>10</v>
      </c>
      <c r="I22" s="111">
        <f>SUMPRODUCT(E22:E38,G22:G38)/H22</f>
        <v>0.98249999999999993</v>
      </c>
    </row>
    <row r="23" spans="1:9" ht="15.75" customHeight="1">
      <c r="A23" s="46">
        <v>20</v>
      </c>
      <c r="B23" s="107"/>
      <c r="C23" s="60" t="s">
        <v>92</v>
      </c>
      <c r="D23" s="55" t="s">
        <v>37</v>
      </c>
      <c r="E23" s="55">
        <f>VLOOKUP(D23,Legend!I$4:J$7,2,FALSE)</f>
        <v>0</v>
      </c>
      <c r="F23" s="57" t="s">
        <v>37</v>
      </c>
      <c r="G23" s="59">
        <f>VLOOKUP(F23,Legend!C$4:F$8,4,FALSE)</f>
        <v>0.5</v>
      </c>
      <c r="H23" s="107"/>
      <c r="I23" s="107"/>
    </row>
    <row r="24" spans="1:9" ht="24" customHeight="1">
      <c r="A24" s="46">
        <v>21</v>
      </c>
      <c r="B24" s="107"/>
      <c r="C24" s="60" t="s">
        <v>93</v>
      </c>
      <c r="D24" s="55" t="s">
        <v>47</v>
      </c>
      <c r="E24" s="55">
        <f>VLOOKUP(D24,Legend!I$4:J$7,2,FALSE)</f>
        <v>1</v>
      </c>
      <c r="F24" s="57" t="s">
        <v>52</v>
      </c>
      <c r="G24" s="59">
        <f>VLOOKUP(F24,Legend!C$4:F$8,4,FALSE)</f>
        <v>0.99</v>
      </c>
      <c r="H24" s="107"/>
      <c r="I24" s="107"/>
    </row>
    <row r="25" spans="1:9" ht="15.75" customHeight="1">
      <c r="A25" s="46">
        <v>22</v>
      </c>
      <c r="B25" s="107"/>
      <c r="C25" s="60" t="s">
        <v>94</v>
      </c>
      <c r="D25" s="55" t="s">
        <v>37</v>
      </c>
      <c r="E25" s="55">
        <f>VLOOKUP(D25,Legend!I$4:J$7,2,FALSE)</f>
        <v>0</v>
      </c>
      <c r="F25" s="57" t="s">
        <v>37</v>
      </c>
      <c r="G25" s="59">
        <f>VLOOKUP(F25,Legend!C$4:F$8,4,FALSE)</f>
        <v>0.5</v>
      </c>
      <c r="H25" s="107"/>
      <c r="I25" s="107"/>
    </row>
    <row r="26" spans="1:9" ht="15.75" customHeight="1">
      <c r="A26" s="46">
        <v>23</v>
      </c>
      <c r="B26" s="107"/>
      <c r="C26" s="60" t="s">
        <v>95</v>
      </c>
      <c r="D26" s="55" t="s">
        <v>47</v>
      </c>
      <c r="E26" s="55">
        <f>VLOOKUP(D26,Legend!I$4:J$7,2,FALSE)</f>
        <v>1</v>
      </c>
      <c r="F26" s="57" t="s">
        <v>52</v>
      </c>
      <c r="G26" s="59">
        <f>VLOOKUP(F26,Legend!C$4:F$8,4,FALSE)</f>
        <v>0.99</v>
      </c>
      <c r="H26" s="107"/>
      <c r="I26" s="107"/>
    </row>
    <row r="27" spans="1:9" ht="36.75" customHeight="1">
      <c r="A27" s="46">
        <v>24</v>
      </c>
      <c r="B27" s="107"/>
      <c r="C27" s="60" t="s">
        <v>96</v>
      </c>
      <c r="D27" s="55" t="s">
        <v>47</v>
      </c>
      <c r="E27" s="55">
        <f>VLOOKUP(D27,Legend!I$4:J$7,2,FALSE)</f>
        <v>1</v>
      </c>
      <c r="F27" s="57" t="s">
        <v>52</v>
      </c>
      <c r="G27" s="59">
        <f>VLOOKUP(F27,Legend!C$4:F$8,4,FALSE)</f>
        <v>0.99</v>
      </c>
      <c r="H27" s="107"/>
      <c r="I27" s="107"/>
    </row>
    <row r="28" spans="1:9" ht="15.75" customHeight="1">
      <c r="A28" s="46">
        <v>25</v>
      </c>
      <c r="B28" s="107"/>
      <c r="C28" s="60" t="s">
        <v>97</v>
      </c>
      <c r="D28" s="55" t="s">
        <v>47</v>
      </c>
      <c r="E28" s="55">
        <f>VLOOKUP(D28,Legend!I$4:J$7,2,FALSE)</f>
        <v>1</v>
      </c>
      <c r="F28" s="57" t="s">
        <v>52</v>
      </c>
      <c r="G28" s="59">
        <f>VLOOKUP(F28,Legend!C$4:F$8,4,FALSE)</f>
        <v>0.99</v>
      </c>
      <c r="H28" s="107"/>
      <c r="I28" s="107"/>
    </row>
    <row r="29" spans="1:9">
      <c r="A29" s="46">
        <v>26</v>
      </c>
      <c r="B29" s="107"/>
      <c r="C29" s="60" t="s">
        <v>98</v>
      </c>
      <c r="D29" s="55" t="s">
        <v>47</v>
      </c>
      <c r="E29" s="55">
        <f>VLOOKUP(D29,Legend!I$4:J$7,2,FALSE)</f>
        <v>1</v>
      </c>
      <c r="F29" s="57" t="s">
        <v>52</v>
      </c>
      <c r="G29" s="59">
        <f>VLOOKUP(F29,Legend!C$4:F$8,4,FALSE)</f>
        <v>0.99</v>
      </c>
      <c r="H29" s="107"/>
      <c r="I29" s="107"/>
    </row>
    <row r="30" spans="1:9" ht="23.25" customHeight="1">
      <c r="A30" s="46">
        <v>27</v>
      </c>
      <c r="B30" s="107"/>
      <c r="C30" s="60" t="s">
        <v>99</v>
      </c>
      <c r="D30" s="90" t="s">
        <v>37</v>
      </c>
      <c r="E30" s="55">
        <f>VLOOKUP(D30,Legend!I$4:J$7,2,FALSE)</f>
        <v>0</v>
      </c>
      <c r="F30" s="57" t="s">
        <v>37</v>
      </c>
      <c r="G30" s="59">
        <f>VLOOKUP(F30,Legend!C$4:F$8,4,FALSE)</f>
        <v>0.5</v>
      </c>
      <c r="H30" s="107"/>
      <c r="I30" s="107"/>
    </row>
    <row r="31" spans="1:9" ht="15.75" customHeight="1">
      <c r="A31" s="46">
        <v>28</v>
      </c>
      <c r="B31" s="107"/>
      <c r="C31" s="60" t="s">
        <v>100</v>
      </c>
      <c r="D31" s="90" t="s">
        <v>37</v>
      </c>
      <c r="E31" s="55">
        <f>VLOOKUP(D31,Legend!I$4:J$7,2,FALSE)</f>
        <v>0</v>
      </c>
      <c r="F31" s="57" t="s">
        <v>37</v>
      </c>
      <c r="G31" s="59">
        <f>VLOOKUP(F31,Legend!C$4:F$8,4,FALSE)</f>
        <v>0.5</v>
      </c>
      <c r="H31" s="107"/>
      <c r="I31" s="107"/>
    </row>
    <row r="32" spans="1:9" ht="15.75" customHeight="1">
      <c r="A32" s="46">
        <v>29</v>
      </c>
      <c r="B32" s="107"/>
      <c r="C32" s="60" t="s">
        <v>101</v>
      </c>
      <c r="D32" s="90" t="s">
        <v>47</v>
      </c>
      <c r="E32" s="55">
        <f>VLOOKUP(D32,Legend!I$4:J$7,2,FALSE)</f>
        <v>1</v>
      </c>
      <c r="F32" s="57" t="s">
        <v>52</v>
      </c>
      <c r="G32" s="59">
        <f>VLOOKUP(F32,Legend!C$4:F$8,4,FALSE)</f>
        <v>0.99</v>
      </c>
      <c r="H32" s="107"/>
      <c r="I32" s="107"/>
    </row>
    <row r="33" spans="1:9" ht="15.75" customHeight="1">
      <c r="A33" s="46">
        <v>30</v>
      </c>
      <c r="B33" s="107"/>
      <c r="C33" s="60" t="s">
        <v>102</v>
      </c>
      <c r="D33" s="55" t="s">
        <v>47</v>
      </c>
      <c r="E33" s="55">
        <f>VLOOKUP(D33,Legend!I$4:J$7,2,FALSE)</f>
        <v>1</v>
      </c>
      <c r="F33" s="57" t="s">
        <v>52</v>
      </c>
      <c r="G33" s="59">
        <f>VLOOKUP(F33,Legend!C$4:F$8,4,FALSE)</f>
        <v>0.99</v>
      </c>
      <c r="H33" s="107"/>
      <c r="I33" s="107"/>
    </row>
    <row r="34" spans="1:9" ht="27.75" customHeight="1">
      <c r="A34" s="46">
        <v>31</v>
      </c>
      <c r="B34" s="107"/>
      <c r="C34" s="60" t="s">
        <v>103</v>
      </c>
      <c r="D34" s="55" t="s">
        <v>47</v>
      </c>
      <c r="E34" s="55">
        <f>VLOOKUP(D34,Legend!I$4:J$7,2,FALSE)</f>
        <v>1</v>
      </c>
      <c r="F34" s="57" t="s">
        <v>52</v>
      </c>
      <c r="G34" s="59">
        <f>VLOOKUP(F34,Legend!C$4:F$8,4,FALSE)</f>
        <v>0.99</v>
      </c>
      <c r="H34" s="107"/>
      <c r="I34" s="107"/>
    </row>
    <row r="35" spans="1:9" ht="15.75" customHeight="1">
      <c r="A35" s="46">
        <v>32</v>
      </c>
      <c r="B35" s="107"/>
      <c r="C35" s="60" t="s">
        <v>104</v>
      </c>
      <c r="D35" s="55" t="s">
        <v>37</v>
      </c>
      <c r="E35" s="55">
        <f>VLOOKUP(D35,Legend!I$4:J$7,2,FALSE)</f>
        <v>0</v>
      </c>
      <c r="F35" s="57" t="s">
        <v>37</v>
      </c>
      <c r="G35" s="59">
        <f>VLOOKUP(F35,Legend!C$4:F$8,4,FALSE)</f>
        <v>0.5</v>
      </c>
      <c r="H35" s="107"/>
      <c r="I35" s="107"/>
    </row>
    <row r="36" spans="1:9" ht="24" customHeight="1">
      <c r="A36" s="46">
        <v>33</v>
      </c>
      <c r="B36" s="107"/>
      <c r="C36" s="60" t="s">
        <v>105</v>
      </c>
      <c r="D36" s="55" t="s">
        <v>47</v>
      </c>
      <c r="E36" s="55"/>
      <c r="F36" s="57" t="s">
        <v>52</v>
      </c>
      <c r="G36" s="59"/>
      <c r="H36" s="107"/>
      <c r="I36" s="107"/>
    </row>
    <row r="37" spans="1:9" ht="24.75" customHeight="1">
      <c r="A37" s="46">
        <v>34</v>
      </c>
      <c r="B37" s="107"/>
      <c r="C37" s="60" t="s">
        <v>106</v>
      </c>
      <c r="D37" s="55" t="s">
        <v>47</v>
      </c>
      <c r="E37" s="55"/>
      <c r="F37" s="57" t="s">
        <v>52</v>
      </c>
      <c r="G37" s="59"/>
      <c r="H37" s="107"/>
      <c r="I37" s="107"/>
    </row>
    <row r="38" spans="1:9" ht="27.75" customHeight="1">
      <c r="A38" s="46">
        <v>35</v>
      </c>
      <c r="B38" s="108"/>
      <c r="C38" s="60" t="s">
        <v>107</v>
      </c>
      <c r="D38" s="55" t="s">
        <v>47</v>
      </c>
      <c r="E38" s="55">
        <f>VLOOKUP(D38,Legend!I$4:J$7,2,FALSE)</f>
        <v>1</v>
      </c>
      <c r="F38" s="57" t="s">
        <v>49</v>
      </c>
      <c r="G38" s="59">
        <f>VLOOKUP(F38,Legend!C$4:F$8,4,FALSE)</f>
        <v>0.91500000000000004</v>
      </c>
      <c r="H38" s="108"/>
      <c r="I38" s="108"/>
    </row>
    <row r="39" spans="1:9" ht="25.5">
      <c r="A39" s="46">
        <v>36</v>
      </c>
      <c r="B39" s="109" t="s">
        <v>77</v>
      </c>
      <c r="C39" s="60" t="s">
        <v>108</v>
      </c>
      <c r="D39" s="90" t="s">
        <v>47</v>
      </c>
      <c r="E39" s="55">
        <f>VLOOKUP(D39,Legend!I$4:J$7,2,FALSE)</f>
        <v>1</v>
      </c>
      <c r="F39" s="57" t="s">
        <v>52</v>
      </c>
      <c r="G39" s="59">
        <f>VLOOKUP(F39,Legend!C$4:F$8,4,FALSE)</f>
        <v>0.99</v>
      </c>
      <c r="H39" s="110">
        <f>SUM(E39:E50)</f>
        <v>9</v>
      </c>
      <c r="I39" s="111">
        <f>SUMPRODUCT(E39:E50,G39:G50)/H39</f>
        <v>0.99</v>
      </c>
    </row>
    <row r="40" spans="1:9" ht="25.5" customHeight="1">
      <c r="A40" s="46">
        <v>37</v>
      </c>
      <c r="B40" s="107"/>
      <c r="C40" s="60" t="s">
        <v>109</v>
      </c>
      <c r="D40" s="90" t="s">
        <v>47</v>
      </c>
      <c r="E40" s="55">
        <f>VLOOKUP(D40,Legend!I$4:J$7,2,FALSE)</f>
        <v>1</v>
      </c>
      <c r="F40" s="57" t="s">
        <v>52</v>
      </c>
      <c r="G40" s="59">
        <f>VLOOKUP(F40,Legend!C$4:F$8,4,FALSE)</f>
        <v>0.99</v>
      </c>
      <c r="H40" s="107"/>
      <c r="I40" s="107"/>
    </row>
    <row r="41" spans="1:9" ht="25.5" customHeight="1">
      <c r="A41" s="46">
        <v>38</v>
      </c>
      <c r="B41" s="107"/>
      <c r="C41" s="60" t="s">
        <v>110</v>
      </c>
      <c r="D41" s="90" t="s">
        <v>47</v>
      </c>
      <c r="E41" s="55">
        <f>VLOOKUP(D41,Legend!I$4:J$7,2,FALSE)</f>
        <v>1</v>
      </c>
      <c r="F41" s="57" t="s">
        <v>52</v>
      </c>
      <c r="G41" s="59">
        <f>VLOOKUP(F41,Legend!C$4:F$8,4,FALSE)</f>
        <v>0.99</v>
      </c>
      <c r="H41" s="107"/>
      <c r="I41" s="107"/>
    </row>
    <row r="42" spans="1:9" ht="25.5" customHeight="1">
      <c r="A42" s="46">
        <v>39</v>
      </c>
      <c r="B42" s="107"/>
      <c r="C42" s="60" t="s">
        <v>111</v>
      </c>
      <c r="D42" s="90" t="s">
        <v>47</v>
      </c>
      <c r="E42" s="55">
        <f>VLOOKUP(D42,Legend!I$4:J$7,2,FALSE)</f>
        <v>1</v>
      </c>
      <c r="F42" s="57" t="s">
        <v>52</v>
      </c>
      <c r="G42" s="59">
        <f>VLOOKUP(F42,Legend!C$4:F$8,4,FALSE)</f>
        <v>0.99</v>
      </c>
      <c r="H42" s="107"/>
      <c r="I42" s="107"/>
    </row>
    <row r="43" spans="1:9" ht="37.5" customHeight="1">
      <c r="A43" s="46">
        <v>40</v>
      </c>
      <c r="B43" s="107"/>
      <c r="C43" s="60" t="s">
        <v>112</v>
      </c>
      <c r="D43" s="90" t="s">
        <v>47</v>
      </c>
      <c r="E43" s="55">
        <f>VLOOKUP(D43,Legend!I$4:J$7,2,FALSE)</f>
        <v>1</v>
      </c>
      <c r="F43" s="57" t="s">
        <v>52</v>
      </c>
      <c r="G43" s="59">
        <f>VLOOKUP(F43,Legend!C$4:F$8,4,FALSE)</f>
        <v>0.99</v>
      </c>
      <c r="H43" s="107"/>
      <c r="I43" s="107"/>
    </row>
    <row r="44" spans="1:9" ht="43.5" customHeight="1">
      <c r="A44" s="46">
        <v>41</v>
      </c>
      <c r="B44" s="107"/>
      <c r="C44" s="60" t="s">
        <v>113</v>
      </c>
      <c r="D44" s="55" t="s">
        <v>47</v>
      </c>
      <c r="E44" s="55">
        <f>VLOOKUP(D44,Legend!I$4:J$7,2,FALSE)</f>
        <v>1</v>
      </c>
      <c r="F44" s="57" t="s">
        <v>52</v>
      </c>
      <c r="G44" s="59">
        <f>VLOOKUP(F44,Legend!C$4:F$8,4,FALSE)</f>
        <v>0.99</v>
      </c>
      <c r="H44" s="107"/>
      <c r="I44" s="107"/>
    </row>
    <row r="45" spans="1:9" ht="27" customHeight="1">
      <c r="A45" s="46">
        <v>42</v>
      </c>
      <c r="B45" s="107"/>
      <c r="C45" s="60" t="s">
        <v>114</v>
      </c>
      <c r="D45" s="55" t="s">
        <v>37</v>
      </c>
      <c r="E45" s="55">
        <f>VLOOKUP(D45,Legend!I$4:J$7,2,FALSE)</f>
        <v>0</v>
      </c>
      <c r="F45" s="57" t="s">
        <v>37</v>
      </c>
      <c r="G45" s="59">
        <f>VLOOKUP(F45,Legend!C$4:F$8,4,FALSE)</f>
        <v>0.5</v>
      </c>
      <c r="H45" s="107"/>
      <c r="I45" s="107"/>
    </row>
    <row r="46" spans="1:9" ht="15.75" customHeight="1">
      <c r="A46" s="46">
        <v>43</v>
      </c>
      <c r="B46" s="107"/>
      <c r="C46" s="60" t="s">
        <v>115</v>
      </c>
      <c r="D46" s="55" t="s">
        <v>47</v>
      </c>
      <c r="E46" s="55">
        <f>VLOOKUP(D46,Legend!I$4:J$7,2,FALSE)</f>
        <v>1</v>
      </c>
      <c r="F46" s="57" t="s">
        <v>52</v>
      </c>
      <c r="G46" s="59">
        <f>VLOOKUP(F46,Legend!C$4:F$8,4,FALSE)</f>
        <v>0.99</v>
      </c>
      <c r="H46" s="107"/>
      <c r="I46" s="107"/>
    </row>
    <row r="47" spans="1:9" ht="38.25">
      <c r="A47" s="46">
        <v>44</v>
      </c>
      <c r="B47" s="107"/>
      <c r="C47" s="60" t="s">
        <v>116</v>
      </c>
      <c r="D47" s="90" t="s">
        <v>37</v>
      </c>
      <c r="E47" s="55">
        <f>VLOOKUP(D47,Legend!I$4:J$7,2,FALSE)</f>
        <v>0</v>
      </c>
      <c r="F47" s="57" t="s">
        <v>37</v>
      </c>
      <c r="G47" s="59">
        <f>VLOOKUP(F47,Legend!C$4:F$8,4,FALSE)</f>
        <v>0.5</v>
      </c>
      <c r="H47" s="107"/>
      <c r="I47" s="107"/>
    </row>
    <row r="48" spans="1:9" ht="25.5">
      <c r="A48" s="46">
        <v>45</v>
      </c>
      <c r="B48" s="107"/>
      <c r="C48" s="60" t="s">
        <v>117</v>
      </c>
      <c r="D48" s="90" t="s">
        <v>47</v>
      </c>
      <c r="E48" s="55">
        <f>VLOOKUP(D48,Legend!I$4:J$7,2,FALSE)</f>
        <v>1</v>
      </c>
      <c r="F48" s="57" t="s">
        <v>52</v>
      </c>
      <c r="G48" s="59">
        <f>VLOOKUP(F48,Legend!C$4:F$8,4,FALSE)</f>
        <v>0.99</v>
      </c>
      <c r="H48" s="107"/>
      <c r="I48" s="107"/>
    </row>
    <row r="49" spans="1:9" ht="38.25">
      <c r="A49" s="46">
        <v>46</v>
      </c>
      <c r="B49" s="107"/>
      <c r="C49" s="60" t="s">
        <v>118</v>
      </c>
      <c r="D49" s="90" t="s">
        <v>37</v>
      </c>
      <c r="E49" s="55">
        <f>VLOOKUP(D49,Legend!I$4:J$7,2,FALSE)</f>
        <v>0</v>
      </c>
      <c r="F49" s="57" t="s">
        <v>37</v>
      </c>
      <c r="G49" s="59">
        <f>VLOOKUP(F49,Legend!C$4:F$8,4,FALSE)</f>
        <v>0.5</v>
      </c>
      <c r="H49" s="107"/>
      <c r="I49" s="107"/>
    </row>
    <row r="50" spans="1:9" ht="15.75" customHeight="1">
      <c r="A50" s="46">
        <v>47</v>
      </c>
      <c r="B50" s="108"/>
      <c r="C50" s="60" t="s">
        <v>119</v>
      </c>
      <c r="D50" s="90" t="s">
        <v>47</v>
      </c>
      <c r="E50" s="55">
        <f>VLOOKUP(D50,Legend!I$4:J$7,2,FALSE)</f>
        <v>1</v>
      </c>
      <c r="F50" s="57" t="s">
        <v>52</v>
      </c>
      <c r="G50" s="59">
        <f>VLOOKUP(F50,Legend!C$4:F$8,4,FALSE)</f>
        <v>0.99</v>
      </c>
      <c r="H50" s="108"/>
      <c r="I50" s="108"/>
    </row>
    <row r="51" spans="1:9" ht="25.5" customHeight="1">
      <c r="A51" s="46">
        <v>48</v>
      </c>
      <c r="B51" s="109" t="s">
        <v>80</v>
      </c>
      <c r="C51" s="60" t="s">
        <v>120</v>
      </c>
      <c r="D51" s="55" t="s">
        <v>47</v>
      </c>
      <c r="E51" s="55">
        <f>VLOOKUP(D51,Legend!I$4:J$7,2,FALSE)</f>
        <v>1</v>
      </c>
      <c r="F51" s="57" t="s">
        <v>52</v>
      </c>
      <c r="G51" s="59">
        <f>VLOOKUP(F51,Legend!C$4:F$8,4,FALSE)</f>
        <v>0.99</v>
      </c>
      <c r="H51" s="110">
        <f>SUM(E51:E59)</f>
        <v>9</v>
      </c>
      <c r="I51" s="111">
        <f>SUMPRODUCT(E51:E59,G51:G59)/H51</f>
        <v>0.97333333333333327</v>
      </c>
    </row>
    <row r="52" spans="1:9" ht="15.75" customHeight="1">
      <c r="A52" s="46">
        <v>49</v>
      </c>
      <c r="B52" s="107"/>
      <c r="C52" s="60" t="s">
        <v>121</v>
      </c>
      <c r="D52" s="55" t="s">
        <v>47</v>
      </c>
      <c r="E52" s="55">
        <f>VLOOKUP(D52,Legend!I$4:J$7,2,FALSE)</f>
        <v>1</v>
      </c>
      <c r="F52" s="57" t="s">
        <v>52</v>
      </c>
      <c r="G52" s="59">
        <f>VLOOKUP(F52,Legend!C$4:F$8,4,FALSE)</f>
        <v>0.99</v>
      </c>
      <c r="H52" s="107"/>
      <c r="I52" s="107"/>
    </row>
    <row r="53" spans="1:9" ht="15.75" customHeight="1">
      <c r="A53" s="46">
        <v>50</v>
      </c>
      <c r="B53" s="107"/>
      <c r="C53" s="60" t="s">
        <v>122</v>
      </c>
      <c r="D53" s="55" t="s">
        <v>47</v>
      </c>
      <c r="E53" s="55">
        <f>VLOOKUP(D53,Legend!I$4:J$7,2,FALSE)</f>
        <v>1</v>
      </c>
      <c r="F53" s="57" t="s">
        <v>52</v>
      </c>
      <c r="G53" s="59">
        <f>VLOOKUP(F53,Legend!C$4:F$8,4,FALSE)</f>
        <v>0.99</v>
      </c>
      <c r="H53" s="107"/>
      <c r="I53" s="107"/>
    </row>
    <row r="54" spans="1:9" ht="15.75" customHeight="1">
      <c r="A54" s="46">
        <v>51</v>
      </c>
      <c r="B54" s="107"/>
      <c r="C54" s="60" t="s">
        <v>123</v>
      </c>
      <c r="D54" s="55" t="s">
        <v>47</v>
      </c>
      <c r="E54" s="55">
        <f>VLOOKUP(D54,Legend!I$4:J$7,2,FALSE)</f>
        <v>1</v>
      </c>
      <c r="F54" s="57" t="s">
        <v>52</v>
      </c>
      <c r="G54" s="59">
        <f>VLOOKUP(F54,Legend!C$4:F$8,4,FALSE)</f>
        <v>0.99</v>
      </c>
      <c r="H54" s="107"/>
      <c r="I54" s="107"/>
    </row>
    <row r="55" spans="1:9" ht="15.75" customHeight="1">
      <c r="A55" s="46">
        <v>52</v>
      </c>
      <c r="B55" s="107"/>
      <c r="C55" s="60" t="s">
        <v>124</v>
      </c>
      <c r="D55" s="55" t="s">
        <v>47</v>
      </c>
      <c r="E55" s="55">
        <f>VLOOKUP(D55,Legend!I$4:J$7,2,FALSE)</f>
        <v>1</v>
      </c>
      <c r="F55" s="57" t="s">
        <v>52</v>
      </c>
      <c r="G55" s="59">
        <f>VLOOKUP(F55,Legend!C$4:F$8,4,FALSE)</f>
        <v>0.99</v>
      </c>
      <c r="H55" s="107"/>
      <c r="I55" s="107"/>
    </row>
    <row r="56" spans="1:9" ht="25.5" customHeight="1">
      <c r="A56" s="46">
        <v>53</v>
      </c>
      <c r="B56" s="107"/>
      <c r="C56" s="60" t="s">
        <v>125</v>
      </c>
      <c r="D56" s="55" t="s">
        <v>47</v>
      </c>
      <c r="E56" s="55">
        <f>VLOOKUP(D56,Legend!I$4:J$7,2,FALSE)</f>
        <v>1</v>
      </c>
      <c r="F56" s="57" t="s">
        <v>49</v>
      </c>
      <c r="G56" s="59">
        <f>VLOOKUP(F56,Legend!C$4:F$8,4,FALSE)</f>
        <v>0.91500000000000004</v>
      </c>
      <c r="H56" s="107"/>
      <c r="I56" s="107"/>
    </row>
    <row r="57" spans="1:9" ht="15.75" customHeight="1">
      <c r="A57" s="46">
        <v>54</v>
      </c>
      <c r="B57" s="107"/>
      <c r="C57" s="60" t="s">
        <v>126</v>
      </c>
      <c r="D57" s="55" t="s">
        <v>47</v>
      </c>
      <c r="E57" s="55">
        <f>VLOOKUP(D57,Legend!I$4:J$7,2,FALSE)</f>
        <v>1</v>
      </c>
      <c r="F57" s="57" t="s">
        <v>49</v>
      </c>
      <c r="G57" s="59">
        <f>VLOOKUP(F57,Legend!C$4:F$8,4,FALSE)</f>
        <v>0.91500000000000004</v>
      </c>
      <c r="H57" s="107"/>
      <c r="I57" s="107"/>
    </row>
    <row r="58" spans="1:9" ht="15.75" customHeight="1">
      <c r="A58" s="46">
        <v>55</v>
      </c>
      <c r="B58" s="107"/>
      <c r="C58" s="60" t="s">
        <v>127</v>
      </c>
      <c r="D58" s="55" t="s">
        <v>47</v>
      </c>
      <c r="E58" s="55">
        <f>VLOOKUP(D58,Legend!I$4:J$7,2,FALSE)</f>
        <v>1</v>
      </c>
      <c r="F58" s="57" t="s">
        <v>52</v>
      </c>
      <c r="G58" s="59">
        <f>VLOOKUP(F58,Legend!C$4:F$8,4,FALSE)</f>
        <v>0.99</v>
      </c>
      <c r="H58" s="107"/>
      <c r="I58" s="107"/>
    </row>
    <row r="59" spans="1:9" ht="15.75" customHeight="1">
      <c r="A59" s="46">
        <v>56</v>
      </c>
      <c r="B59" s="108"/>
      <c r="C59" s="60" t="s">
        <v>128</v>
      </c>
      <c r="D59" s="55" t="s">
        <v>47</v>
      </c>
      <c r="E59" s="55">
        <f>VLOOKUP(D59,Legend!I$4:J$7,2,FALSE)</f>
        <v>1</v>
      </c>
      <c r="F59" s="57" t="s">
        <v>52</v>
      </c>
      <c r="G59" s="59">
        <f>VLOOKUP(F59,Legend!C$4:F$8,4,FALSE)</f>
        <v>0.99</v>
      </c>
      <c r="H59" s="108"/>
      <c r="I59" s="108"/>
    </row>
    <row r="60" spans="1:9" ht="15.75" customHeight="1">
      <c r="A60" s="46">
        <v>57</v>
      </c>
      <c r="B60" s="109" t="s">
        <v>83</v>
      </c>
      <c r="C60" s="60" t="s">
        <v>129</v>
      </c>
      <c r="D60" s="55" t="s">
        <v>47</v>
      </c>
      <c r="E60" s="55">
        <f>VLOOKUP(D60,Legend!I$4:J$7,2,FALSE)</f>
        <v>1</v>
      </c>
      <c r="F60" s="57" t="s">
        <v>52</v>
      </c>
      <c r="G60" s="59">
        <f>VLOOKUP(F60,Legend!C$4:F$8,4,FALSE)</f>
        <v>0.99</v>
      </c>
      <c r="H60" s="110">
        <f>SUM(E60:E73)</f>
        <v>8</v>
      </c>
      <c r="I60" s="111">
        <f>SUMPRODUCT(E60:E73,G60:G73)/H60</f>
        <v>0.97125000000000006</v>
      </c>
    </row>
    <row r="61" spans="1:9" ht="15.75" customHeight="1">
      <c r="A61" s="46">
        <v>58</v>
      </c>
      <c r="B61" s="107"/>
      <c r="C61" s="60" t="s">
        <v>130</v>
      </c>
      <c r="D61" s="55" t="s">
        <v>47</v>
      </c>
      <c r="E61" s="55">
        <f>VLOOKUP(D61,Legend!I$4:J$7,2,FALSE)</f>
        <v>1</v>
      </c>
      <c r="F61" s="57" t="s">
        <v>52</v>
      </c>
      <c r="G61" s="59">
        <f>VLOOKUP(F61,Legend!C$4:F$8,4,FALSE)</f>
        <v>0.99</v>
      </c>
      <c r="H61" s="107"/>
      <c r="I61" s="107"/>
    </row>
    <row r="62" spans="1:9" ht="15.75" customHeight="1">
      <c r="A62" s="46">
        <v>59</v>
      </c>
      <c r="B62" s="107"/>
      <c r="C62" s="60" t="s">
        <v>131</v>
      </c>
      <c r="D62" s="55" t="s">
        <v>47</v>
      </c>
      <c r="E62" s="55">
        <f>VLOOKUP(D62,Legend!I$4:J$7,2,FALSE)</f>
        <v>1</v>
      </c>
      <c r="F62" s="57" t="s">
        <v>52</v>
      </c>
      <c r="G62" s="59">
        <f>VLOOKUP(F62,Legend!C$4:F$8,4,FALSE)</f>
        <v>0.99</v>
      </c>
      <c r="H62" s="107"/>
      <c r="I62" s="107"/>
    </row>
    <row r="63" spans="1:9" ht="15.75" customHeight="1">
      <c r="A63" s="46">
        <v>60</v>
      </c>
      <c r="B63" s="107"/>
      <c r="C63" s="60" t="s">
        <v>132</v>
      </c>
      <c r="D63" s="55" t="s">
        <v>37</v>
      </c>
      <c r="E63" s="55">
        <f>VLOOKUP(D63,Legend!I$4:J$7,2,FALSE)</f>
        <v>0</v>
      </c>
      <c r="F63" s="57" t="s">
        <v>37</v>
      </c>
      <c r="G63" s="59">
        <f>VLOOKUP(F63,Legend!C$4:F$8,4,FALSE)</f>
        <v>0.5</v>
      </c>
      <c r="H63" s="107"/>
      <c r="I63" s="107"/>
    </row>
    <row r="64" spans="1:9" ht="15.75" customHeight="1">
      <c r="A64" s="46">
        <v>61</v>
      </c>
      <c r="B64" s="107"/>
      <c r="C64" s="60" t="s">
        <v>133</v>
      </c>
      <c r="D64" s="55" t="s">
        <v>37</v>
      </c>
      <c r="E64" s="55">
        <f>VLOOKUP(D64,Legend!I$4:J$7,2,FALSE)</f>
        <v>0</v>
      </c>
      <c r="F64" s="57" t="s">
        <v>37</v>
      </c>
      <c r="G64" s="59">
        <f>VLOOKUP(F64,Legend!C$4:F$8,4,FALSE)</f>
        <v>0.5</v>
      </c>
      <c r="H64" s="107"/>
      <c r="I64" s="107"/>
    </row>
    <row r="65" spans="1:9" ht="15.75" customHeight="1">
      <c r="A65" s="46">
        <v>62</v>
      </c>
      <c r="B65" s="107"/>
      <c r="C65" s="60" t="s">
        <v>134</v>
      </c>
      <c r="D65" s="55" t="s">
        <v>47</v>
      </c>
      <c r="E65" s="55">
        <f>VLOOKUP(D65,Legend!I$4:J$7,2,FALSE)</f>
        <v>1</v>
      </c>
      <c r="F65" s="57" t="s">
        <v>52</v>
      </c>
      <c r="G65" s="59">
        <f>VLOOKUP(F65,Legend!C$4:F$8,4,FALSE)</f>
        <v>0.99</v>
      </c>
      <c r="H65" s="107"/>
      <c r="I65" s="107"/>
    </row>
    <row r="66" spans="1:9" ht="15.75" customHeight="1">
      <c r="A66" s="46">
        <v>63</v>
      </c>
      <c r="B66" s="107"/>
      <c r="C66" s="60" t="s">
        <v>135</v>
      </c>
      <c r="D66" s="90" t="s">
        <v>37</v>
      </c>
      <c r="E66" s="55">
        <f>VLOOKUP(D66,Legend!I$4:J$7,2,FALSE)</f>
        <v>0</v>
      </c>
      <c r="F66" s="57" t="s">
        <v>37</v>
      </c>
      <c r="G66" s="59">
        <f>VLOOKUP(F66,Legend!C$4:F$8,4,FALSE)</f>
        <v>0.5</v>
      </c>
      <c r="H66" s="107"/>
      <c r="I66" s="107"/>
    </row>
    <row r="67" spans="1:9" ht="15.75" customHeight="1">
      <c r="A67" s="46">
        <v>64</v>
      </c>
      <c r="B67" s="107"/>
      <c r="C67" s="60" t="s">
        <v>136</v>
      </c>
      <c r="D67" s="90" t="s">
        <v>37</v>
      </c>
      <c r="E67" s="55">
        <f>VLOOKUP(D67,Legend!I$4:J$7,2,FALSE)</f>
        <v>0</v>
      </c>
      <c r="F67" s="57" t="s">
        <v>37</v>
      </c>
      <c r="G67" s="59">
        <f>VLOOKUP(F67,Legend!C$4:F$8,4,FALSE)</f>
        <v>0.5</v>
      </c>
      <c r="H67" s="107"/>
      <c r="I67" s="107"/>
    </row>
    <row r="68" spans="1:9" ht="15.75" customHeight="1">
      <c r="A68" s="46">
        <v>65</v>
      </c>
      <c r="B68" s="107"/>
      <c r="C68" s="60" t="s">
        <v>137</v>
      </c>
      <c r="D68" s="90" t="s">
        <v>47</v>
      </c>
      <c r="E68" s="55">
        <f>VLOOKUP(D68,Legend!I$4:J$7,2,FALSE)</f>
        <v>1</v>
      </c>
      <c r="F68" s="57" t="s">
        <v>52</v>
      </c>
      <c r="G68" s="59">
        <f>VLOOKUP(F68,Legend!C$4:F$8,4,FALSE)</f>
        <v>0.99</v>
      </c>
      <c r="H68" s="107"/>
      <c r="I68" s="107"/>
    </row>
    <row r="69" spans="1:9" ht="15.75" customHeight="1">
      <c r="A69" s="46">
        <v>66</v>
      </c>
      <c r="B69" s="107"/>
      <c r="C69" s="60" t="s">
        <v>138</v>
      </c>
      <c r="D69" s="90" t="s">
        <v>47</v>
      </c>
      <c r="E69" s="55">
        <f>VLOOKUP(D69,Legend!I$4:J$7,2,FALSE)</f>
        <v>1</v>
      </c>
      <c r="F69" s="57" t="s">
        <v>52</v>
      </c>
      <c r="G69" s="59">
        <f>VLOOKUP(F69,Legend!C$4:F$8,4,FALSE)</f>
        <v>0.99</v>
      </c>
      <c r="H69" s="107"/>
      <c r="I69" s="107"/>
    </row>
    <row r="70" spans="1:9" ht="15.75" customHeight="1">
      <c r="A70" s="46">
        <v>67</v>
      </c>
      <c r="B70" s="107"/>
      <c r="C70" s="60" t="s">
        <v>139</v>
      </c>
      <c r="D70" s="90" t="s">
        <v>37</v>
      </c>
      <c r="E70" s="55">
        <f>VLOOKUP(D70,Legend!I$4:J$7,2,FALSE)</f>
        <v>0</v>
      </c>
      <c r="F70" s="57" t="s">
        <v>37</v>
      </c>
      <c r="G70" s="59">
        <f>VLOOKUP(F70,Legend!C$4:F$8,4,FALSE)</f>
        <v>0.5</v>
      </c>
      <c r="H70" s="107"/>
      <c r="I70" s="107"/>
    </row>
    <row r="71" spans="1:9" ht="15.75" customHeight="1">
      <c r="A71" s="46">
        <v>68</v>
      </c>
      <c r="B71" s="107"/>
      <c r="C71" s="60" t="s">
        <v>140</v>
      </c>
      <c r="D71" s="90" t="s">
        <v>37</v>
      </c>
      <c r="E71" s="55">
        <f>VLOOKUP(D71,Legend!I$4:J$7,2,FALSE)</f>
        <v>0</v>
      </c>
      <c r="F71" s="57" t="s">
        <v>37</v>
      </c>
      <c r="G71" s="59">
        <f>VLOOKUP(F71,Legend!C$4:F$8,4,FALSE)</f>
        <v>0.5</v>
      </c>
      <c r="H71" s="107"/>
      <c r="I71" s="107"/>
    </row>
    <row r="72" spans="1:9" ht="15.75" customHeight="1">
      <c r="A72" s="46">
        <v>69</v>
      </c>
      <c r="B72" s="107"/>
      <c r="C72" s="60" t="s">
        <v>141</v>
      </c>
      <c r="D72" s="55" t="s">
        <v>47</v>
      </c>
      <c r="E72" s="55">
        <f>VLOOKUP(D72,Legend!I$4:J$7,2,FALSE)</f>
        <v>1</v>
      </c>
      <c r="F72" s="57" t="s">
        <v>49</v>
      </c>
      <c r="G72" s="59">
        <f>VLOOKUP(F72,Legend!C$4:F$8,4,FALSE)</f>
        <v>0.91500000000000004</v>
      </c>
      <c r="H72" s="107"/>
      <c r="I72" s="107"/>
    </row>
    <row r="73" spans="1:9" ht="15.75" customHeight="1">
      <c r="A73" s="46">
        <v>70</v>
      </c>
      <c r="B73" s="108"/>
      <c r="C73" s="60" t="s">
        <v>142</v>
      </c>
      <c r="D73" s="55" t="s">
        <v>47</v>
      </c>
      <c r="E73" s="55">
        <f>VLOOKUP(D73,Legend!I$4:J$7,2,FALSE)</f>
        <v>1</v>
      </c>
      <c r="F73" s="57" t="s">
        <v>49</v>
      </c>
      <c r="G73" s="59">
        <f>VLOOKUP(F73,Legend!C$4:F$8,4,FALSE)</f>
        <v>0.91500000000000004</v>
      </c>
      <c r="H73" s="108"/>
      <c r="I73" s="108"/>
    </row>
    <row r="74" spans="1:9" ht="15.75" customHeight="1">
      <c r="A74" s="91"/>
      <c r="B74" s="92" t="s">
        <v>143</v>
      </c>
      <c r="C74" s="60"/>
      <c r="D74" s="55"/>
      <c r="E74" s="90" t="e">
        <f>VLOOKUP(D74,Legend!I$4:J$7,2,FALSE)</f>
        <v>#N/A</v>
      </c>
      <c r="F74" s="57"/>
      <c r="G74" s="93" t="e">
        <f>VLOOKUP(F74,Legend!C$4:F$8,4,FALSE)</f>
        <v>#N/A</v>
      </c>
      <c r="H74" s="94"/>
      <c r="I74" s="95"/>
    </row>
    <row r="75" spans="1:9" ht="15.75" customHeight="1"/>
    <row r="76" spans="1:9" ht="15.75" customHeight="1">
      <c r="B76" s="96" t="s">
        <v>87</v>
      </c>
      <c r="C76" s="96" t="s">
        <v>144</v>
      </c>
      <c r="D76" s="97"/>
      <c r="E76" s="97">
        <f>SUM(E4:E73)</f>
        <v>51</v>
      </c>
      <c r="F76" s="97"/>
      <c r="G76" s="98">
        <f>SUMPRODUCT(E4:E73,G4:G73)/E76</f>
        <v>0.98264705882352943</v>
      </c>
      <c r="H76" s="97">
        <f>SUM(H4:H73)</f>
        <v>51</v>
      </c>
      <c r="I76" s="98">
        <f>SUMPRODUCT(H4:H73,I4:I73)/H76</f>
        <v>0.98264705882352943</v>
      </c>
    </row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51:H59"/>
    <mergeCell ref="I51:I59"/>
    <mergeCell ref="I60:I73"/>
    <mergeCell ref="H22:H38"/>
    <mergeCell ref="H4:H21"/>
    <mergeCell ref="I4:I21"/>
    <mergeCell ref="I22:I38"/>
    <mergeCell ref="I39:I50"/>
    <mergeCell ref="H39:H50"/>
    <mergeCell ref="H60:H73"/>
    <mergeCell ref="B4:B21"/>
    <mergeCell ref="B22:B38"/>
    <mergeCell ref="B39:B50"/>
    <mergeCell ref="B51:B59"/>
    <mergeCell ref="B60:B73"/>
  </mergeCells>
  <conditionalFormatting sqref="F4:F74">
    <cfRule type="expression" dxfId="12" priority="1">
      <formula>D4="NA"</formula>
    </cfRule>
  </conditionalFormatting>
  <conditionalFormatting sqref="F4:F74">
    <cfRule type="cellIs" dxfId="11" priority="2" operator="equal">
      <formula>"RED"</formula>
    </cfRule>
  </conditionalFormatting>
  <conditionalFormatting sqref="F4:F74">
    <cfRule type="cellIs" dxfId="10" priority="3" operator="equal">
      <formula>"Amber"</formula>
    </cfRule>
  </conditionalFormatting>
  <conditionalFormatting sqref="F4:F74">
    <cfRule type="cellIs" dxfId="9" priority="4" operator="equal">
      <formula>"Yellow"</formula>
    </cfRule>
  </conditionalFormatting>
  <conditionalFormatting sqref="F4:F74">
    <cfRule type="cellIs" dxfId="8" priority="5" operator="equal">
      <formula>"Green"</formula>
    </cfRule>
  </conditionalFormatting>
  <conditionalFormatting sqref="G4:G7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decimal" allowBlank="1" showInputMessage="1" showErrorMessage="1" prompt="readiness - % - enter value between 0 - 100 %" sqref="G4:G74">
      <formula1>0</formula1>
      <formula2>1</formula2>
    </dataValidation>
  </dataValidations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Legend!$J$4:$J$7</xm:f>
          </x14:formula1>
          <xm:sqref>E4:E74</xm:sqref>
        </x14:dataValidation>
        <x14:dataValidation type="list" allowBlank="1" showErrorMessage="1">
          <x14:formula1>
            <xm:f>Legend!$I$4:$I$7</xm:f>
          </x14:formula1>
          <xm:sqref>D4:D74</xm:sqref>
        </x14:dataValidation>
        <x14:dataValidation type="list" allowBlank="1" showErrorMessage="1">
          <x14:formula1>
            <xm:f>Legend!$C$4:$C$8</xm:f>
          </x14:formula1>
          <xm:sqref>F4:F74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14.42578125" defaultRowHeight="15" customHeight="1"/>
  <cols>
    <col min="1" max="1" width="8.7109375" customWidth="1"/>
    <col min="2" max="2" width="21.5703125" customWidth="1"/>
    <col min="3" max="3" width="57.42578125" customWidth="1"/>
    <col min="4" max="4" width="15.85546875" customWidth="1"/>
    <col min="5" max="5" width="19.140625" customWidth="1"/>
    <col min="6" max="6" width="41.7109375" customWidth="1"/>
    <col min="7" max="26" width="8.7109375" customWidth="1"/>
  </cols>
  <sheetData>
    <row r="1" spans="1:6">
      <c r="A1" s="26" t="s">
        <v>62</v>
      </c>
    </row>
    <row r="3" spans="1:6" ht="33.75">
      <c r="B3" s="61" t="s">
        <v>39</v>
      </c>
      <c r="C3" s="62" t="s">
        <v>63</v>
      </c>
      <c r="D3" s="63" t="s">
        <v>65</v>
      </c>
      <c r="E3" s="64" t="s">
        <v>66</v>
      </c>
      <c r="F3" s="65" t="s">
        <v>67</v>
      </c>
    </row>
    <row r="4" spans="1:6" ht="42">
      <c r="B4" s="66" t="s">
        <v>53</v>
      </c>
      <c r="C4" s="67" t="s">
        <v>69</v>
      </c>
      <c r="D4" s="68">
        <f>VLOOKUP(B4,'Readiness Parm Details'!B$4:I$76,8,)</f>
        <v>0.9900000000000001</v>
      </c>
      <c r="E4" s="69" t="str">
        <f>IF(D4&lt;Legend!$D$4,"RED",IF(D4&lt;Legend!$D$5,"Amber",IF(D4&lt;Legend!$D$6,"Yellow","Green")))</f>
        <v>Green</v>
      </c>
      <c r="F4" s="70"/>
    </row>
    <row r="5" spans="1:6" ht="81.75" customHeight="1">
      <c r="B5" s="71" t="s">
        <v>72</v>
      </c>
      <c r="C5" s="72" t="s">
        <v>74</v>
      </c>
      <c r="D5" s="73">
        <f>VLOOKUP(B5,'Readiness Parm Details'!B$4:I$76,8,)</f>
        <v>0.98249999999999993</v>
      </c>
      <c r="E5" s="74" t="str">
        <f>IF(D5&lt;Legend!$D$4,"RED",IF(D5&lt;Legend!$D$5,"Amber",IF(D5&lt;Legend!$D$6,"Yellow","Green")))</f>
        <v>Green</v>
      </c>
      <c r="F5" s="75"/>
    </row>
    <row r="6" spans="1:6" ht="21">
      <c r="B6" s="71" t="s">
        <v>77</v>
      </c>
      <c r="C6" s="72" t="s">
        <v>78</v>
      </c>
      <c r="D6" s="73">
        <f>VLOOKUP(B6,'Readiness Parm Details'!B$4:I$76,8,)</f>
        <v>0.99</v>
      </c>
      <c r="E6" s="74" t="str">
        <f>IF(D6&lt;Legend!$D$4,"RED",IF(D6&lt;Legend!$D$5,"Amber",IF(D6&lt;Legend!$D$6,"Yellow","Green")))</f>
        <v>Green</v>
      </c>
      <c r="F6" s="75"/>
    </row>
    <row r="7" spans="1:6" ht="52.5">
      <c r="B7" s="71" t="s">
        <v>80</v>
      </c>
      <c r="C7" s="72" t="s">
        <v>81</v>
      </c>
      <c r="D7" s="73">
        <f>VLOOKUP(B7,'Readiness Parm Details'!B$4:I$76,8,)</f>
        <v>0.97333333333333327</v>
      </c>
      <c r="E7" s="74" t="str">
        <f>IF(D7&lt;Legend!$D$4,"RED",IF(D7&lt;Legend!$D$5,"Amber",IF(D7&lt;Legend!$D$6,"Yellow","Green")))</f>
        <v>Yellow</v>
      </c>
      <c r="F7" s="75" t="s">
        <v>148</v>
      </c>
    </row>
    <row r="8" spans="1:6" ht="52.5">
      <c r="B8" s="76" t="s">
        <v>83</v>
      </c>
      <c r="C8" s="77" t="s">
        <v>147</v>
      </c>
      <c r="D8" s="78">
        <f>VLOOKUP(B8,'Readiness Parm Details'!B$4:I$76,8,)</f>
        <v>0.97125000000000006</v>
      </c>
      <c r="E8" s="79" t="str">
        <f>IF(D8&lt;Legend!$D$4,"RED",IF(D8&lt;Legend!$D$5,"Amber",IF(D8&lt;Legend!$D$6,"Yellow","Green")))</f>
        <v>Yellow</v>
      </c>
      <c r="F8" s="75" t="s">
        <v>148</v>
      </c>
    </row>
    <row r="9" spans="1:6">
      <c r="A9" s="22"/>
      <c r="B9" s="80"/>
      <c r="C9" s="80"/>
      <c r="D9" s="81"/>
      <c r="E9" s="82"/>
      <c r="F9" s="80"/>
    </row>
    <row r="10" spans="1:6" ht="33.75">
      <c r="B10" s="83" t="s">
        <v>87</v>
      </c>
      <c r="C10" s="84" t="s">
        <v>88</v>
      </c>
      <c r="D10" s="85">
        <f>VLOOKUP(B10,'Readiness Parm Details'!B$4:I$76,8,)</f>
        <v>0.98264705882352943</v>
      </c>
      <c r="E10" s="86" t="str">
        <f>IF(COUNTIF(E4:E8,"Red")&gt;0,"RED",IF(COUNTIF(E4:E8,"Amber")&gt;0,"Amber",IF(COUNTIF(E4:E8,"Yellow")&gt;0,"Yellow","Green")))</f>
        <v>Yellow</v>
      </c>
      <c r="F10" s="87" t="s">
        <v>146</v>
      </c>
    </row>
    <row r="11" spans="1:6">
      <c r="B11" s="88"/>
      <c r="C11" s="88"/>
      <c r="D11" s="88"/>
      <c r="E11" s="88"/>
    </row>
    <row r="12" spans="1:6">
      <c r="B12" s="22"/>
      <c r="C12" s="22"/>
      <c r="D12" s="22"/>
      <c r="E12" s="22"/>
      <c r="F12" s="89"/>
    </row>
    <row r="13" spans="1:6">
      <c r="B13" s="22"/>
      <c r="C13" s="22"/>
      <c r="D13" s="22"/>
      <c r="E13" s="22"/>
    </row>
    <row r="14" spans="1:6">
      <c r="B14" s="22"/>
      <c r="C14" s="22"/>
      <c r="D14" s="22"/>
      <c r="E14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4:E9">
    <cfRule type="cellIs" dxfId="7" priority="1" operator="equal">
      <formula>"RED"</formula>
    </cfRule>
  </conditionalFormatting>
  <conditionalFormatting sqref="E4:E9">
    <cfRule type="cellIs" dxfId="6" priority="2" operator="equal">
      <formula>"Amber"</formula>
    </cfRule>
  </conditionalFormatting>
  <conditionalFormatting sqref="E4:E9">
    <cfRule type="cellIs" dxfId="5" priority="3" operator="equal">
      <formula>"Yellow"</formula>
    </cfRule>
  </conditionalFormatting>
  <conditionalFormatting sqref="E4:E9">
    <cfRule type="cellIs" dxfId="4" priority="4" operator="equal">
      <formula>"Green"</formula>
    </cfRule>
  </conditionalFormatting>
  <conditionalFormatting sqref="E10">
    <cfRule type="cellIs" dxfId="3" priority="5" operator="equal">
      <formula>"RED"</formula>
    </cfRule>
  </conditionalFormatting>
  <conditionalFormatting sqref="E10">
    <cfRule type="cellIs" dxfId="2" priority="6" operator="equal">
      <formula>"Amber"</formula>
    </cfRule>
  </conditionalFormatting>
  <conditionalFormatting sqref="E10">
    <cfRule type="cellIs" dxfId="1" priority="7" operator="equal">
      <formula>"Yellow"</formula>
    </cfRule>
  </conditionalFormatting>
  <conditionalFormatting sqref="E10">
    <cfRule type="cellIs" dxfId="0" priority="8" operator="equal">
      <formula>"Green"</formula>
    </cfRule>
  </conditionalFormatting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439D16B5C98D459FF6C6F4E1379499" ma:contentTypeVersion="7" ma:contentTypeDescription="Create a new document." ma:contentTypeScope="" ma:versionID="93cdfaa2979e3aa34a98332684182459">
  <xsd:schema xmlns:xsd="http://www.w3.org/2001/XMLSchema" xmlns:xs="http://www.w3.org/2001/XMLSchema" xmlns:p="http://schemas.microsoft.com/office/2006/metadata/properties" xmlns:ns2="7a0150ec-ca18-4a8c-a8e2-62dba377db22" xmlns:ns3="e66880a7-89ec-4800-bfed-c18f31073511" targetNamespace="http://schemas.microsoft.com/office/2006/metadata/properties" ma:root="true" ma:fieldsID="4635ff9fd7483205d5c1fa49ccddc369" ns2:_="" ns3:_="">
    <xsd:import namespace="7a0150ec-ca18-4a8c-a8e2-62dba377db22"/>
    <xsd:import namespace="e66880a7-89ec-4800-bfed-c18f310735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150ec-ca18-4a8c-a8e2-62dba377d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880a7-89ec-4800-bfed-c18f310735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60BF3A-74D0-456E-A070-268A738C00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1B7D7-C0D1-43B0-A16C-88C2AAA46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0150ec-ca18-4a8c-a8e2-62dba377db22"/>
    <ds:schemaRef ds:uri="e66880a7-89ec-4800-bfed-c18f310735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6843C5-B24A-4A39-8C98-C9428F5237A6}">
  <ds:schemaRefs>
    <ds:schemaRef ds:uri="http://www.w3.org/XML/1998/namespace"/>
    <ds:schemaRef ds:uri="http://schemas.microsoft.com/office/2006/documentManagement/types"/>
    <ds:schemaRef ds:uri="http://purl.org/dc/elements/1.1/"/>
    <ds:schemaRef ds:uri="7a0150ec-ca18-4a8c-a8e2-62dba377db22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66880a7-89ec-4800-bfed-c18f3107351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</vt:lpstr>
      <vt:lpstr>Help</vt:lpstr>
      <vt:lpstr>Legend</vt:lpstr>
      <vt:lpstr>Readiness Parm Details</vt:lpstr>
      <vt:lpstr>Readiness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Wajahath Quraishi</dc:creator>
  <cp:lastModifiedBy>Stewart, Howard</cp:lastModifiedBy>
  <dcterms:created xsi:type="dcterms:W3CDTF">2019-04-04T17:04:29Z</dcterms:created>
  <dcterms:modified xsi:type="dcterms:W3CDTF">2019-05-02T19:34:23Z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wajahath.quraishi@ad.infosys.com</vt:lpwstr>
  </property>
  <property fmtid="{D5CDD505-2E9C-101B-9397-08002B2CF9AE}" pid="5" name="MSIP_Label_be4b3411-284d-4d31-bd4f-bc13ef7f1fd6_SetDate">
    <vt:lpwstr>2019-04-04T17:04:20.3675909Z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Extended_MSFT_Method">
    <vt:lpwstr>Automatic</vt:lpwstr>
  </property>
  <property fmtid="{D5CDD505-2E9C-101B-9397-08002B2CF9AE}" pid="9" name="MSIP_Label_a0819fa7-4367-4500-ba88-dd630d977609_Enabled">
    <vt:lpwstr>True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a0819fa7-4367-4500-ba88-dd630d977609_Owner">
    <vt:lpwstr>wajahath.quraishi@ad.infosys.com</vt:lpwstr>
  </property>
  <property fmtid="{D5CDD505-2E9C-101B-9397-08002B2CF9AE}" pid="12" name="MSIP_Label_a0819fa7-4367-4500-ba88-dd630d977609_SetDate">
    <vt:lpwstr>2019-04-04T17:04:20.3675909Z</vt:lpwstr>
  </property>
  <property fmtid="{D5CDD505-2E9C-101B-9397-08002B2CF9AE}" pid="13" name="MSIP_Label_a0819fa7-4367-4500-ba88-dd630d977609_Name">
    <vt:lpwstr>Companywide usage</vt:lpwstr>
  </property>
  <property fmtid="{D5CDD505-2E9C-101B-9397-08002B2CF9AE}" pid="14" name="MSIP_Label_a0819fa7-4367-4500-ba88-dd630d977609_Application">
    <vt:lpwstr>Microsoft Azure Information Protection</vt:lpwstr>
  </property>
  <property fmtid="{D5CDD505-2E9C-101B-9397-08002B2CF9AE}" pid="15" name="MSIP_Label_a0819fa7-4367-4500-ba88-dd630d977609_Parent">
    <vt:lpwstr>be4b3411-284d-4d31-bd4f-bc13ef7f1fd6</vt:lpwstr>
  </property>
  <property fmtid="{D5CDD505-2E9C-101B-9397-08002B2CF9AE}" pid="16" name="MSIP_Label_a0819fa7-4367-4500-ba88-dd630d977609_Extended_MSFT_Method">
    <vt:lpwstr>Automatic</vt:lpwstr>
  </property>
  <property fmtid="{D5CDD505-2E9C-101B-9397-08002B2CF9AE}" pid="17" name="Sensitivity">
    <vt:lpwstr>Internal Companywide usage</vt:lpwstr>
  </property>
  <property fmtid="{D5CDD505-2E9C-101B-9397-08002B2CF9AE}" pid="18" name="ContentTypeId">
    <vt:lpwstr>0x01010002439D16B5C98D459FF6C6F4E1379499</vt:lpwstr>
  </property>
</Properties>
</file>